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avag\OneDrive\Documents\Github\573_Lead_Scouting_App\Scouting Laptop Files\"/>
    </mc:Choice>
  </mc:AlternateContent>
  <xr:revisionPtr revIDLastSave="0" documentId="13_ncr:1_{E0A10738-E788-4110-ACFC-AA00B759D56D}" xr6:coauthVersionLast="47" xr6:coauthVersionMax="47" xr10:uidLastSave="{00000000-0000-0000-0000-000000000000}"/>
  <bookViews>
    <workbookView xWindow="735" yWindow="735" windowWidth="24270" windowHeight="11715" activeTab="1" xr2:uid="{00000000-000D-0000-FFFF-FFFF00000000}"/>
  </bookViews>
  <sheets>
    <sheet name="Summary" sheetId="1" r:id="rId1"/>
    <sheet name="team_list" sheetId="3" r:id="rId2"/>
    <sheet name="template" sheetId="2" r:id="rId3"/>
  </sheets>
  <definedNames>
    <definedName name="_xlnm._FilterDatabase" localSheetId="0" hidden="1">Summary!$A$8:$AK$8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7" i="2" l="1"/>
  <c r="D18" i="2"/>
  <c r="D19" i="2"/>
  <c r="D17" i="2"/>
  <c r="E19" i="2"/>
  <c r="E18" i="2"/>
  <c r="E17" i="2"/>
  <c r="F19" i="2" l="1"/>
  <c r="F17" i="2"/>
  <c r="F18" i="2"/>
  <c r="G19" i="2" l="1"/>
  <c r="G18" i="2"/>
  <c r="G17" i="2"/>
  <c r="H19" i="2" l="1"/>
  <c r="H18" i="2"/>
  <c r="H17" i="2"/>
  <c r="I19" i="2" l="1"/>
  <c r="I18" i="2"/>
  <c r="I17" i="2"/>
  <c r="J19" i="2" l="1"/>
  <c r="J18" i="2"/>
  <c r="J17" i="2"/>
  <c r="L18" i="2" l="1"/>
  <c r="L17" i="2"/>
  <c r="L19" i="2"/>
  <c r="K18" i="2"/>
  <c r="K19" i="2"/>
  <c r="K17" i="2"/>
  <c r="M18" i="2" l="1"/>
  <c r="M17" i="2"/>
  <c r="N19" i="2" l="1"/>
  <c r="N18" i="2"/>
  <c r="N17" i="2"/>
  <c r="O17" i="2" l="1"/>
  <c r="O19" i="2"/>
  <c r="O18" i="2"/>
  <c r="P17" i="2" l="1"/>
  <c r="P18" i="2"/>
  <c r="P19" i="2"/>
  <c r="Q17" i="2" l="1"/>
  <c r="Q19" i="2"/>
  <c r="Q18" i="2"/>
  <c r="R19" i="2" l="1"/>
  <c r="R18" i="2"/>
  <c r="R17" i="2"/>
  <c r="U18" i="2" l="1"/>
  <c r="U19" i="2"/>
  <c r="U17" i="2"/>
  <c r="V17" i="2" l="1"/>
  <c r="V18" i="2"/>
  <c r="V19" i="2"/>
  <c r="W19" i="2" l="1"/>
  <c r="W17" i="2"/>
  <c r="W18" i="2"/>
  <c r="X18" i="2" l="1"/>
  <c r="X17" i="2"/>
  <c r="X19" i="2"/>
  <c r="Y17" i="2" l="1"/>
  <c r="Y18" i="2"/>
  <c r="Y19" i="2"/>
</calcChain>
</file>

<file path=xl/sharedStrings.xml><?xml version="1.0" encoding="utf-8"?>
<sst xmlns="http://schemas.openxmlformats.org/spreadsheetml/2006/main" count="153" uniqueCount="52">
  <si>
    <t>Team Number</t>
  </si>
  <si>
    <t>Team Name</t>
  </si>
  <si>
    <t>Match #</t>
  </si>
  <si>
    <t>Scouter Name</t>
  </si>
  <si>
    <t>Teleop</t>
  </si>
  <si>
    <t>Pit Scouting</t>
  </si>
  <si>
    <t>Max</t>
  </si>
  <si>
    <t>Min</t>
  </si>
  <si>
    <t>Match Scouting</t>
  </si>
  <si>
    <t>Mech Warriors</t>
  </si>
  <si>
    <t>Team Summary</t>
  </si>
  <si>
    <t>Average Results</t>
  </si>
  <si>
    <t>Max Results</t>
  </si>
  <si>
    <t>Min Results</t>
  </si>
  <si>
    <t>Autonomous</t>
  </si>
  <si>
    <t>Comments</t>
  </si>
  <si>
    <t>Alliance Color</t>
  </si>
  <si>
    <t>Average</t>
  </si>
  <si>
    <t>Strengths</t>
  </si>
  <si>
    <t>Drivetrain type</t>
  </si>
  <si>
    <t>Auto</t>
  </si>
  <si>
    <t>L1 Coral</t>
  </si>
  <si>
    <t>L2 Coral</t>
  </si>
  <si>
    <t>L3 Coral</t>
  </si>
  <si>
    <t>L4 Coral</t>
  </si>
  <si>
    <t>Algae Displaced</t>
  </si>
  <si>
    <t>Algae Processed</t>
  </si>
  <si>
    <t>Algae Barge</t>
  </si>
  <si>
    <t>Auto L1 Coral</t>
  </si>
  <si>
    <t>Auto L2 Coral</t>
  </si>
  <si>
    <t>Auto L3 Coral</t>
  </si>
  <si>
    <t>Auto L4 Coral</t>
  </si>
  <si>
    <t>Auto Algae Displaced</t>
  </si>
  <si>
    <t>Auto Algae Processed</t>
  </si>
  <si>
    <t>Auto Algae Barge</t>
  </si>
  <si>
    <t>Auto Leave</t>
  </si>
  <si>
    <t>Defense Type</t>
  </si>
  <si>
    <t>Endgame</t>
  </si>
  <si>
    <t>Attempt Shallow</t>
  </si>
  <si>
    <t>Shallow Climb</t>
  </si>
  <si>
    <t>Attempt Deep</t>
  </si>
  <si>
    <t>Deep Climb</t>
  </si>
  <si>
    <t>Parked</t>
  </si>
  <si>
    <t>Coral Abilities</t>
  </si>
  <si>
    <t>Algae Abilities</t>
  </si>
  <si>
    <t>Auto Info</t>
  </si>
  <si>
    <t>Cage Ability</t>
  </si>
  <si>
    <t>Fit Under Shallow Cage</t>
  </si>
  <si>
    <t>Drivetrain</t>
  </si>
  <si>
    <t>Penalties</t>
  </si>
  <si>
    <t>Defense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</si>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</sst>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5" xfId="0" applyBorder="1"/>
    <xf numFmtId="0" fontId="0" fillId="3" borderId="1" xfId="0" applyFill="1" applyBorder="1"/>
    <xf numFmtId="0" fontId="0" fillId="3" borderId="5" xfId="0" applyFill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7" xfId="0" applyBorder="1" applyAlignment="1">
      <alignment horizontal="center"/>
    </xf>
    <xf numFmtId="0" fontId="1" fillId="0" borderId="6" xfId="0" applyFont="1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3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9A9134-5A48-4690-8E03-B41419A45991}" name="Table5" displayName="Table5" ref="A16:Z20" totalsRowShown="0" headerRowDxfId="32" headerRowBorderDxfId="31" tableBorderDxfId="30" totalsRowBorderDxfId="29">
  <tableColumns count="26">
    <tableColumn id="1" xr3:uid="{F16D52E8-F1B0-4725-9A27-45D91C19A5A4}" name="Match #" dataDxfId="28"/>
    <tableColumn id="2" xr3:uid="{3726BEAE-513B-47AE-A1AE-66F34444D173}" name="Alliance Color" dataDxfId="27"/>
    <tableColumn id="3" xr3:uid="{C971C71B-CEBE-461E-B3C0-B5468140EF01}" name="Scouter Name" dataDxfId="26"/>
    <tableColumn id="5" xr3:uid="{73624BFB-8EC0-4B5C-89EA-8A36B95A15D7}" name="Auto L1 Coral" dataDxfId="25"/>
    <tableColumn id="6" xr3:uid="{C2F0C0CE-ABBF-494D-8360-E886D43B1D5B}" name="Auto L2 Coral" dataDxfId="24"/>
    <tableColumn id="7" xr3:uid="{0DFDE256-C59F-45F3-A998-E024897F9A27}" name="Auto L3 Coral" dataDxfId="23"/>
    <tableColumn id="15" xr3:uid="{544F3B90-5F35-4248-B0CD-545368205A9D}" name="Auto L4 Coral" dataDxfId="22"/>
    <tableColumn id="14" xr3:uid="{79687526-1EAD-4CBC-B065-C369B75BA7AE}" name="Auto Algae Displaced" dataDxfId="21"/>
    <tableColumn id="13" xr3:uid="{D0BBC55B-9CC1-42C0-8DCD-9D2810C3BCFC}" name="Auto Algae Processed" dataDxfId="20"/>
    <tableColumn id="4" xr3:uid="{069240F9-D2A0-4E48-B0A5-A592A1267C39}" name="Auto Algae Barge" dataDxfId="19"/>
    <tableColumn id="8" xr3:uid="{738F6C5C-DEE0-4635-8D26-EC6F98C7864D}" name="Auto Leave" dataDxfId="18"/>
    <tableColumn id="18" xr3:uid="{004FC33A-DDF9-4910-B0A0-67E6EFB8DAFA}" name="L1 Coral" dataDxfId="17"/>
    <tableColumn id="9" xr3:uid="{42EB9B00-AE97-4FC3-BBBD-481E41257273}" name="L2 Coral" dataDxfId="16"/>
    <tableColumn id="10" xr3:uid="{D01BB072-7A5B-4A74-89D7-756AD36CF372}" name="L3 Coral" dataDxfId="15"/>
    <tableColumn id="11" xr3:uid="{CAD660AF-D41C-448C-ABE2-C6A38E71B326}" name="L4 Coral" dataDxfId="14"/>
    <tableColumn id="12" xr3:uid="{6A6E1A69-8D5E-4BC3-97EB-6D439DAC7BAD}" name="Algae Displaced" dataDxfId="13"/>
    <tableColumn id="16" xr3:uid="{FBD4BB79-C339-4411-B407-08124A310618}" name="Algae Processed" dataDxfId="12"/>
    <tableColumn id="17" xr3:uid="{4FFAAD0A-C272-4914-B323-F386EC579D15}" name="Algae Barge" dataDxfId="11"/>
    <tableColumn id="19" xr3:uid="{F08BB07F-AF82-43A7-AB1E-3757A6A009C0}" name="Defense Type" dataDxfId="10"/>
    <tableColumn id="25" xr3:uid="{34C8B8AD-4857-4250-9D7A-74E1EE26B273}" name="Penalties" dataDxfId="9"/>
    <tableColumn id="20" xr3:uid="{A2FE9A20-CA84-4B02-8D4B-58262E55CADE}" name="Attempt Shallow" dataDxfId="8"/>
    <tableColumn id="21" xr3:uid="{4FBD2F12-FEC0-406D-9DC4-F1668EE01285}" name="Shallow Climb" dataDxfId="7"/>
    <tableColumn id="22" xr3:uid="{3841B7EE-DD32-43A6-8EBC-B9806F0EC8DF}" name="Attempt Deep" dataDxfId="6"/>
    <tableColumn id="23" xr3:uid="{3D17D85C-42F6-440C-918A-ABA6F4393650}" name="Deep Climb" dataDxfId="5"/>
    <tableColumn id="24" xr3:uid="{6D341FC6-3AAF-4816-881F-BE51D86F8D69}" name="Parked" dataDxfId="4"/>
    <tableColumn id="26" xr3:uid="{ED361E7A-641A-422B-8079-3195B5A7CA05}" name="Comments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1508BC-A90F-4BCF-A6C7-5EE7B6956DF7}" name="Table7" displayName="Table7" ref="A1:A12" totalsRowShown="0" headerRowDxfId="2" headerRowBorderDxfId="1" tableBorderDxfId="0">
  <autoFilter ref="A1:A12" xr:uid="{351508BC-A90F-4BCF-A6C7-5EE7B6956DF7}"/>
  <tableColumns count="1">
    <tableColumn id="1" xr3:uid="{EC75A18F-7806-48C6-B018-3520F72D5CF8}" name="Team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1"/>
  <sheetViews>
    <sheetView workbookViewId="0">
      <selection activeCell="C12" sqref="C12"/>
    </sheetView>
  </sheetViews>
  <sheetFormatPr defaultRowHeight="15" x14ac:dyDescent="0.25"/>
  <cols>
    <col min="1" max="1" width="22.28515625" bestFit="1" customWidth="1"/>
    <col min="2" max="5" width="12.5703125" bestFit="1" customWidth="1"/>
    <col min="6" max="6" width="20" bestFit="1" customWidth="1"/>
    <col min="7" max="7" width="20.42578125" bestFit="1" customWidth="1"/>
    <col min="8" max="8" width="16.28515625" bestFit="1" customWidth="1"/>
    <col min="9" max="9" width="10.85546875" bestFit="1" customWidth="1"/>
    <col min="10" max="13" width="7.85546875" bestFit="1" customWidth="1"/>
    <col min="14" max="14" width="15.140625" bestFit="1" customWidth="1"/>
    <col min="15" max="15" width="15.5703125" bestFit="1" customWidth="1"/>
    <col min="16" max="16" width="11.42578125" bestFit="1" customWidth="1"/>
    <col min="17" max="17" width="16" bestFit="1" customWidth="1"/>
    <col min="18" max="19" width="13.7109375" bestFit="1" customWidth="1"/>
    <col min="20" max="20" width="11.28515625" bestFit="1" customWidth="1"/>
    <col min="21" max="21" width="7.140625" bestFit="1" customWidth="1"/>
    <col min="22" max="25" width="12.5703125" bestFit="1" customWidth="1"/>
    <col min="26" max="26" width="20" bestFit="1" customWidth="1"/>
    <col min="27" max="27" width="20.42578125" bestFit="1" customWidth="1"/>
    <col min="28" max="28" width="16.28515625" bestFit="1" customWidth="1"/>
    <col min="29" max="29" width="10.85546875" bestFit="1" customWidth="1"/>
    <col min="30" max="33" width="7.85546875" bestFit="1" customWidth="1"/>
    <col min="34" max="34" width="15.140625" bestFit="1" customWidth="1"/>
    <col min="35" max="35" width="15.5703125" bestFit="1" customWidth="1"/>
    <col min="36" max="36" width="11.42578125" bestFit="1" customWidth="1"/>
    <col min="37" max="37" width="16" bestFit="1" customWidth="1"/>
    <col min="38" max="39" width="13.7109375" bestFit="1" customWidth="1"/>
    <col min="40" max="40" width="11.28515625" bestFit="1" customWidth="1"/>
    <col min="41" max="41" width="7.140625" bestFit="1" customWidth="1"/>
    <col min="42" max="45" width="12.5703125" bestFit="1" customWidth="1"/>
    <col min="46" max="46" width="20" bestFit="1" customWidth="1"/>
    <col min="47" max="47" width="20.42578125" bestFit="1" customWidth="1"/>
    <col min="48" max="48" width="16.28515625" bestFit="1" customWidth="1"/>
    <col min="49" max="49" width="10.85546875" bestFit="1" customWidth="1"/>
    <col min="50" max="53" width="7.85546875" bestFit="1" customWidth="1"/>
    <col min="54" max="54" width="15.140625" bestFit="1" customWidth="1"/>
    <col min="55" max="55" width="15.5703125" bestFit="1" customWidth="1"/>
    <col min="56" max="56" width="11.42578125" bestFit="1" customWidth="1"/>
    <col min="57" max="57" width="16" bestFit="1" customWidth="1"/>
    <col min="58" max="59" width="13.7109375" bestFit="1" customWidth="1"/>
    <col min="60" max="60" width="11.28515625" bestFit="1" customWidth="1"/>
    <col min="61" max="61" width="7.140625" bestFit="1" customWidth="1"/>
    <col min="62" max="62" width="13" customWidth="1"/>
    <col min="63" max="63" width="18.28515625" bestFit="1" customWidth="1"/>
  </cols>
  <sheetData>
    <row r="1" spans="1:63" ht="26.25" x14ac:dyDescent="0.25">
      <c r="A1" s="30" t="s">
        <v>10</v>
      </c>
      <c r="B1" s="30"/>
      <c r="C1" s="30"/>
      <c r="D1" s="30"/>
      <c r="E1" s="30"/>
      <c r="F1" s="9"/>
    </row>
    <row r="2" spans="1:63" ht="26.25" x14ac:dyDescent="0.25">
      <c r="A2" s="30"/>
      <c r="B2" s="30"/>
      <c r="C2" s="30"/>
      <c r="D2" s="30"/>
      <c r="E2" s="30"/>
      <c r="F2" s="9"/>
    </row>
    <row r="4" spans="1:63" ht="23.25" x14ac:dyDescent="0.25">
      <c r="C4" s="8"/>
      <c r="D4" s="8"/>
      <c r="E4" s="8"/>
      <c r="F4" s="8"/>
    </row>
    <row r="5" spans="1:63" ht="23.25" x14ac:dyDescent="0.25">
      <c r="A5" s="8"/>
      <c r="B5" s="8"/>
      <c r="C5" s="8"/>
      <c r="D5" s="8"/>
      <c r="E5" s="8"/>
      <c r="F5" s="8"/>
    </row>
    <row r="6" spans="1:63" ht="23.25" x14ac:dyDescent="0.35">
      <c r="A6" s="35" t="s">
        <v>0</v>
      </c>
      <c r="B6" s="25" t="s">
        <v>11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5" t="s">
        <v>12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5" t="s">
        <v>13</v>
      </c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2" t="s">
        <v>50</v>
      </c>
      <c r="BK6" s="19" t="s">
        <v>5</v>
      </c>
    </row>
    <row r="7" spans="1:63" ht="15" customHeight="1" x14ac:dyDescent="0.25">
      <c r="B7" s="27" t="s">
        <v>20</v>
      </c>
      <c r="C7" s="28"/>
      <c r="D7" s="28"/>
      <c r="E7" s="28"/>
      <c r="F7" s="28"/>
      <c r="G7" s="28"/>
      <c r="H7" s="28"/>
      <c r="I7" s="29"/>
      <c r="J7" s="27" t="s">
        <v>4</v>
      </c>
      <c r="K7" s="28"/>
      <c r="L7" s="28"/>
      <c r="M7" s="28"/>
      <c r="N7" s="28"/>
      <c r="O7" s="28"/>
      <c r="P7" s="28"/>
      <c r="Q7" s="27" t="s">
        <v>37</v>
      </c>
      <c r="R7" s="28"/>
      <c r="S7" s="28"/>
      <c r="T7" s="28"/>
      <c r="U7" s="29"/>
      <c r="V7" s="27" t="s">
        <v>20</v>
      </c>
      <c r="W7" s="28"/>
      <c r="X7" s="28"/>
      <c r="Y7" s="28"/>
      <c r="Z7" s="28"/>
      <c r="AA7" s="28"/>
      <c r="AB7" s="28"/>
      <c r="AC7" s="29"/>
      <c r="AD7" s="27" t="s">
        <v>4</v>
      </c>
      <c r="AE7" s="28"/>
      <c r="AF7" s="28"/>
      <c r="AG7" s="28"/>
      <c r="AH7" s="28"/>
      <c r="AI7" s="28"/>
      <c r="AJ7" s="28"/>
      <c r="AK7" s="27" t="s">
        <v>37</v>
      </c>
      <c r="AL7" s="28"/>
      <c r="AM7" s="28"/>
      <c r="AN7" s="28"/>
      <c r="AO7" s="29"/>
      <c r="AP7" s="27" t="s">
        <v>20</v>
      </c>
      <c r="AQ7" s="28"/>
      <c r="AR7" s="28"/>
      <c r="AS7" s="28"/>
      <c r="AT7" s="28"/>
      <c r="AU7" s="28"/>
      <c r="AV7" s="28"/>
      <c r="AW7" s="29"/>
      <c r="AX7" s="27" t="s">
        <v>4</v>
      </c>
      <c r="AY7" s="28"/>
      <c r="AZ7" s="28"/>
      <c r="BA7" s="28"/>
      <c r="BB7" s="28"/>
      <c r="BC7" s="28"/>
      <c r="BD7" s="28"/>
      <c r="BE7" s="27" t="s">
        <v>37</v>
      </c>
      <c r="BF7" s="28"/>
      <c r="BG7" s="28"/>
      <c r="BH7" s="28"/>
      <c r="BI7" s="29"/>
      <c r="BJ7" s="23" t="s">
        <v>50</v>
      </c>
      <c r="BK7" s="20" t="s">
        <v>5</v>
      </c>
    </row>
    <row r="8" spans="1:63" x14ac:dyDescent="0.25">
      <c r="A8" s="10" t="s">
        <v>0</v>
      </c>
      <c r="B8" s="10" t="s">
        <v>28</v>
      </c>
      <c r="C8" s="10" t="s">
        <v>29</v>
      </c>
      <c r="D8" s="10" t="s">
        <v>30</v>
      </c>
      <c r="E8" s="10" t="s">
        <v>31</v>
      </c>
      <c r="F8" s="10" t="s">
        <v>32</v>
      </c>
      <c r="G8" s="10" t="s">
        <v>33</v>
      </c>
      <c r="H8" s="10" t="s">
        <v>34</v>
      </c>
      <c r="I8" s="10" t="s">
        <v>35</v>
      </c>
      <c r="J8" s="10" t="s">
        <v>21</v>
      </c>
      <c r="K8" s="10" t="s">
        <v>22</v>
      </c>
      <c r="L8" s="10" t="s">
        <v>23</v>
      </c>
      <c r="M8" s="10" t="s">
        <v>24</v>
      </c>
      <c r="N8" s="10" t="s">
        <v>25</v>
      </c>
      <c r="O8" s="10" t="s">
        <v>26</v>
      </c>
      <c r="P8" s="10" t="s">
        <v>27</v>
      </c>
      <c r="Q8" s="10" t="s">
        <v>38</v>
      </c>
      <c r="R8" s="10" t="s">
        <v>39</v>
      </c>
      <c r="S8" s="10" t="s">
        <v>40</v>
      </c>
      <c r="T8" s="10" t="s">
        <v>41</v>
      </c>
      <c r="U8" s="10" t="s">
        <v>42</v>
      </c>
      <c r="V8" s="10" t="s">
        <v>28</v>
      </c>
      <c r="W8" s="10" t="s">
        <v>29</v>
      </c>
      <c r="X8" s="10" t="s">
        <v>30</v>
      </c>
      <c r="Y8" s="10" t="s">
        <v>31</v>
      </c>
      <c r="Z8" s="10" t="s">
        <v>32</v>
      </c>
      <c r="AA8" s="10" t="s">
        <v>33</v>
      </c>
      <c r="AB8" s="10" t="s">
        <v>34</v>
      </c>
      <c r="AC8" s="10" t="s">
        <v>35</v>
      </c>
      <c r="AD8" s="10" t="s">
        <v>21</v>
      </c>
      <c r="AE8" s="10" t="s">
        <v>22</v>
      </c>
      <c r="AF8" s="10" t="s">
        <v>23</v>
      </c>
      <c r="AG8" s="10" t="s">
        <v>24</v>
      </c>
      <c r="AH8" s="10" t="s">
        <v>25</v>
      </c>
      <c r="AI8" s="10" t="s">
        <v>26</v>
      </c>
      <c r="AJ8" s="10" t="s">
        <v>27</v>
      </c>
      <c r="AK8" s="10" t="s">
        <v>38</v>
      </c>
      <c r="AL8" s="10" t="s">
        <v>39</v>
      </c>
      <c r="AM8" s="10" t="s">
        <v>40</v>
      </c>
      <c r="AN8" s="10" t="s">
        <v>41</v>
      </c>
      <c r="AO8" s="10" t="s">
        <v>42</v>
      </c>
      <c r="AP8" s="10" t="s">
        <v>28</v>
      </c>
      <c r="AQ8" s="10" t="s">
        <v>29</v>
      </c>
      <c r="AR8" s="10" t="s">
        <v>30</v>
      </c>
      <c r="AS8" s="10" t="s">
        <v>31</v>
      </c>
      <c r="AT8" s="10" t="s">
        <v>32</v>
      </c>
      <c r="AU8" s="10" t="s">
        <v>33</v>
      </c>
      <c r="AV8" s="10" t="s">
        <v>34</v>
      </c>
      <c r="AW8" s="10" t="s">
        <v>35</v>
      </c>
      <c r="AX8" s="10" t="s">
        <v>21</v>
      </c>
      <c r="AY8" s="10" t="s">
        <v>22</v>
      </c>
      <c r="AZ8" s="10" t="s">
        <v>23</v>
      </c>
      <c r="BA8" s="10" t="s">
        <v>24</v>
      </c>
      <c r="BB8" s="10" t="s">
        <v>25</v>
      </c>
      <c r="BC8" s="10" t="s">
        <v>26</v>
      </c>
      <c r="BD8" s="10" t="s">
        <v>27</v>
      </c>
      <c r="BE8" s="10" t="s">
        <v>38</v>
      </c>
      <c r="BF8" s="10" t="s">
        <v>39</v>
      </c>
      <c r="BG8" s="10" t="s">
        <v>40</v>
      </c>
      <c r="BH8" s="10" t="s">
        <v>41</v>
      </c>
      <c r="BI8" s="10" t="s">
        <v>42</v>
      </c>
      <c r="BJ8" s="10" t="s">
        <v>50</v>
      </c>
      <c r="BK8" s="10" t="s">
        <v>48</v>
      </c>
    </row>
    <row r="11" spans="1:63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</sheetData>
  <mergeCells count="13">
    <mergeCell ref="A1:E2"/>
    <mergeCell ref="B7:I7"/>
    <mergeCell ref="J7:P7"/>
    <mergeCell ref="Q7:U7"/>
    <mergeCell ref="B6:U6"/>
    <mergeCell ref="V6:AO6"/>
    <mergeCell ref="V7:AC7"/>
    <mergeCell ref="AD7:AJ7"/>
    <mergeCell ref="AK7:AO7"/>
    <mergeCell ref="AP6:BI6"/>
    <mergeCell ref="AP7:AW7"/>
    <mergeCell ref="AX7:BD7"/>
    <mergeCell ref="BE7:BI7"/>
  </mergeCells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A2" sqref="A2"/>
    </sheetView>
  </sheetViews>
  <sheetFormatPr defaultRowHeight="15" x14ac:dyDescent="0.25"/>
  <cols>
    <col min="2" max="2" width="20.140625" bestFit="1" customWidth="1"/>
  </cols>
  <sheetData>
    <row r="1" spans="1:2" x14ac:dyDescent="0.25">
      <c r="A1">
        <v>1</v>
      </c>
      <c r="B1" t="s">
        <v>51</v>
      </c>
    </row>
    <row r="2" spans="1:2" x14ac:dyDescent="0.25">
      <c r="A2">
        <v>573</v>
      </c>
      <c r="B2" t="s">
        <v>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"/>
  <sheetViews>
    <sheetView topLeftCell="H11" zoomScale="106" zoomScaleNormal="106" workbookViewId="0">
      <selection activeCell="S17" sqref="S17"/>
    </sheetView>
  </sheetViews>
  <sheetFormatPr defaultRowHeight="15" x14ac:dyDescent="0.25"/>
  <cols>
    <col min="1" max="1" width="40.42578125" customWidth="1"/>
    <col min="2" max="2" width="13.5703125" bestFit="1" customWidth="1"/>
    <col min="3" max="3" width="14" customWidth="1"/>
    <col min="4" max="5" width="13.28515625" bestFit="1" customWidth="1"/>
    <col min="6" max="7" width="14.5703125" customWidth="1"/>
    <col min="8" max="8" width="15.5703125" bestFit="1" customWidth="1"/>
    <col min="9" max="9" width="15.85546875" bestFit="1" customWidth="1"/>
    <col min="10" max="10" width="14.5703125" customWidth="1"/>
    <col min="11" max="12" width="18.5703125" customWidth="1"/>
    <col min="13" max="13" width="8.5703125" customWidth="1"/>
    <col min="14" max="14" width="9.7109375" bestFit="1" customWidth="1"/>
    <col min="15" max="15" width="15.42578125" customWidth="1"/>
    <col min="16" max="16" width="9.7109375" bestFit="1" customWidth="1"/>
    <col min="17" max="17" width="14.140625" bestFit="1" customWidth="1"/>
    <col min="18" max="18" width="14.5703125" bestFit="1" customWidth="1"/>
    <col min="19" max="19" width="14.7109375" customWidth="1"/>
    <col min="20" max="20" width="9.28515625" bestFit="1" customWidth="1"/>
    <col min="21" max="21" width="16.7109375" bestFit="1" customWidth="1"/>
    <col min="22" max="22" width="14" bestFit="1" customWidth="1"/>
    <col min="23" max="23" width="14.140625" bestFit="1" customWidth="1"/>
    <col min="24" max="24" width="11.28515625" bestFit="1" customWidth="1"/>
    <col min="25" max="25" width="7.7109375" bestFit="1" customWidth="1"/>
    <col min="26" max="26" width="23.5703125" customWidth="1"/>
    <col min="27" max="27" width="35.140625" bestFit="1" customWidth="1"/>
    <col min="32" max="32" width="5.5703125" bestFit="1" customWidth="1"/>
  </cols>
  <sheetData>
    <row r="1" spans="1:26" x14ac:dyDescent="0.25">
      <c r="A1" s="14" t="s">
        <v>0</v>
      </c>
      <c r="B1" s="10"/>
    </row>
    <row r="2" spans="1:26" x14ac:dyDescent="0.25">
      <c r="A2" s="7" t="s">
        <v>1</v>
      </c>
      <c r="B2" s="10"/>
    </row>
    <row r="3" spans="1:26" x14ac:dyDescent="0.25">
      <c r="B3" s="1"/>
    </row>
    <row r="4" spans="1:26" x14ac:dyDescent="0.25">
      <c r="A4" s="2" t="s">
        <v>5</v>
      </c>
      <c r="B4" s="2"/>
    </row>
    <row r="5" spans="1:26" x14ac:dyDescent="0.25">
      <c r="A5" t="s">
        <v>19</v>
      </c>
      <c r="B5" s="11"/>
    </row>
    <row r="6" spans="1:26" x14ac:dyDescent="0.25">
      <c r="A6" t="s">
        <v>43</v>
      </c>
      <c r="B6" s="11"/>
    </row>
    <row r="7" spans="1:26" x14ac:dyDescent="0.25">
      <c r="A7" t="s">
        <v>44</v>
      </c>
      <c r="B7" s="11"/>
    </row>
    <row r="8" spans="1:26" x14ac:dyDescent="0.25">
      <c r="A8" t="s">
        <v>45</v>
      </c>
      <c r="B8" s="11"/>
    </row>
    <row r="9" spans="1:26" x14ac:dyDescent="0.25">
      <c r="A9" t="s">
        <v>46</v>
      </c>
      <c r="B9" s="11"/>
    </row>
    <row r="10" spans="1:26" x14ac:dyDescent="0.25">
      <c r="A10" t="s">
        <v>47</v>
      </c>
      <c r="B10" s="11"/>
    </row>
    <row r="11" spans="1:26" x14ac:dyDescent="0.25">
      <c r="A11" t="s">
        <v>18</v>
      </c>
      <c r="B11" s="11"/>
    </row>
    <row r="12" spans="1:26" x14ac:dyDescent="0.25">
      <c r="A12" t="s">
        <v>15</v>
      </c>
      <c r="B12" s="11"/>
    </row>
    <row r="14" spans="1:26" x14ac:dyDescent="0.25">
      <c r="A14" s="2" t="s">
        <v>8</v>
      </c>
    </row>
    <row r="15" spans="1:26" x14ac:dyDescent="0.25">
      <c r="A15" s="1"/>
      <c r="B15" s="1"/>
      <c r="C15" s="1"/>
      <c r="D15" s="31" t="s">
        <v>14</v>
      </c>
      <c r="E15" s="32"/>
      <c r="F15" s="32"/>
      <c r="G15" s="32"/>
      <c r="H15" s="32"/>
      <c r="I15" s="32"/>
      <c r="J15" s="32"/>
      <c r="K15" s="33"/>
      <c r="L15" s="34" t="s">
        <v>4</v>
      </c>
      <c r="M15" s="34"/>
      <c r="N15" s="34"/>
      <c r="O15" s="34"/>
      <c r="P15" s="34"/>
      <c r="Q15" s="34"/>
      <c r="R15" s="34"/>
      <c r="S15" s="34"/>
      <c r="T15" s="21"/>
      <c r="U15" s="34" t="s">
        <v>37</v>
      </c>
      <c r="V15" s="34"/>
      <c r="W15" s="34"/>
      <c r="X15" s="34"/>
      <c r="Y15" s="34"/>
    </row>
    <row r="16" spans="1:26" x14ac:dyDescent="0.25">
      <c r="A16" s="16" t="s">
        <v>2</v>
      </c>
      <c r="B16" s="17" t="s">
        <v>16</v>
      </c>
      <c r="C16" s="17" t="s">
        <v>3</v>
      </c>
      <c r="D16" s="17" t="s">
        <v>28</v>
      </c>
      <c r="E16" s="17" t="s">
        <v>29</v>
      </c>
      <c r="F16" s="17" t="s">
        <v>30</v>
      </c>
      <c r="G16" s="17" t="s">
        <v>31</v>
      </c>
      <c r="H16" s="17" t="s">
        <v>32</v>
      </c>
      <c r="I16" s="17" t="s">
        <v>33</v>
      </c>
      <c r="J16" s="17" t="s">
        <v>34</v>
      </c>
      <c r="K16" s="17" t="s">
        <v>35</v>
      </c>
      <c r="L16" s="17" t="s">
        <v>21</v>
      </c>
      <c r="M16" s="17" t="s">
        <v>22</v>
      </c>
      <c r="N16" s="17" t="s">
        <v>23</v>
      </c>
      <c r="O16" s="17" t="s">
        <v>24</v>
      </c>
      <c r="P16" s="17" t="s">
        <v>25</v>
      </c>
      <c r="Q16" s="17" t="s">
        <v>26</v>
      </c>
      <c r="R16" s="17" t="s">
        <v>27</v>
      </c>
      <c r="S16" s="17" t="s">
        <v>36</v>
      </c>
      <c r="T16" s="17" t="s">
        <v>49</v>
      </c>
      <c r="U16" s="17" t="s">
        <v>38</v>
      </c>
      <c r="V16" s="17" t="s">
        <v>39</v>
      </c>
      <c r="W16" s="17" t="s">
        <v>40</v>
      </c>
      <c r="X16" s="17" t="s">
        <v>41</v>
      </c>
      <c r="Y16" s="17" t="s">
        <v>42</v>
      </c>
      <c r="Z16" s="17" t="s">
        <v>15</v>
      </c>
    </row>
    <row r="17" spans="1:26" x14ac:dyDescent="0.25">
      <c r="A17" s="12" t="s">
        <v>17</v>
      </c>
      <c r="B17" s="5"/>
      <c r="C17" s="5"/>
      <c r="D17" s="3" t="e">
        <f>AVERAGE(D21:D220)</f>
        <v>#DIV/0!</v>
      </c>
      <c r="E17" s="3" t="e">
        <f t="shared" ref="E17:O17" si="0">AVERAGE(E21:E220)</f>
        <v>#DIV/0!</v>
      </c>
      <c r="F17" s="3" t="e">
        <f t="shared" si="0"/>
        <v>#DIV/0!</v>
      </c>
      <c r="G17" s="3" t="e">
        <f t="shared" si="0"/>
        <v>#DIV/0!</v>
      </c>
      <c r="H17" s="3" t="e">
        <f t="shared" si="0"/>
        <v>#DIV/0!</v>
      </c>
      <c r="I17" s="3" t="e">
        <f t="shared" si="0"/>
        <v>#DIV/0!</v>
      </c>
      <c r="J17" s="3" t="e">
        <f t="shared" si="0"/>
        <v>#DIV/0!</v>
      </c>
      <c r="K17" s="3" t="e">
        <f t="shared" si="0"/>
        <v>#DIV/0!</v>
      </c>
      <c r="L17" s="3" t="e">
        <f t="shared" si="0"/>
        <v>#DIV/0!</v>
      </c>
      <c r="M17" s="3" t="e">
        <f t="shared" si="0"/>
        <v>#DIV/0!</v>
      </c>
      <c r="N17" s="3" t="e">
        <f t="shared" si="0"/>
        <v>#DIV/0!</v>
      </c>
      <c r="O17" s="3" t="e">
        <f t="shared" si="0"/>
        <v>#DIV/0!</v>
      </c>
      <c r="P17" s="3" t="e">
        <f t="shared" ref="P17:Y17" si="1">AVERAGE(P21:P220)</f>
        <v>#DIV/0!</v>
      </c>
      <c r="Q17" s="3" t="e">
        <f t="shared" si="1"/>
        <v>#DIV/0!</v>
      </c>
      <c r="R17" s="3" t="e">
        <f t="shared" si="1"/>
        <v>#DIV/0!</v>
      </c>
      <c r="S17" s="3" t="str">
        <f>_xlfn.TEXTJOIN(",",TRUE,S21:S236)</f>
        <v/>
      </c>
      <c r="T17" s="3"/>
      <c r="U17" s="3" t="e">
        <f t="shared" si="1"/>
        <v>#DIV/0!</v>
      </c>
      <c r="V17" s="3" t="e">
        <f t="shared" si="1"/>
        <v>#DIV/0!</v>
      </c>
      <c r="W17" s="3" t="e">
        <f t="shared" si="1"/>
        <v>#DIV/0!</v>
      </c>
      <c r="X17" s="3" t="e">
        <f t="shared" si="1"/>
        <v>#DIV/0!</v>
      </c>
      <c r="Y17" s="3" t="e">
        <f t="shared" si="1"/>
        <v>#DIV/0!</v>
      </c>
      <c r="Z17" s="24"/>
    </row>
    <row r="18" spans="1:26" x14ac:dyDescent="0.25">
      <c r="A18" s="12" t="s">
        <v>6</v>
      </c>
      <c r="B18" s="5"/>
      <c r="C18" s="5"/>
      <c r="D18" s="3">
        <f>MAX(D21:D200)</f>
        <v>0</v>
      </c>
      <c r="E18" s="3">
        <f t="shared" ref="E18:O18" si="2">MAX(E21:E200)</f>
        <v>0</v>
      </c>
      <c r="F18" s="3">
        <f t="shared" si="2"/>
        <v>0</v>
      </c>
      <c r="G18" s="3">
        <f t="shared" si="2"/>
        <v>0</v>
      </c>
      <c r="H18" s="3">
        <f t="shared" si="2"/>
        <v>0</v>
      </c>
      <c r="I18" s="3">
        <f t="shared" si="2"/>
        <v>0</v>
      </c>
      <c r="J18" s="3">
        <f t="shared" si="2"/>
        <v>0</v>
      </c>
      <c r="K18" s="3">
        <f t="shared" si="2"/>
        <v>0</v>
      </c>
      <c r="L18" s="3">
        <f t="shared" ref="L18" si="3">MAX(L21:L200)</f>
        <v>0</v>
      </c>
      <c r="M18" s="3">
        <f t="shared" si="2"/>
        <v>0</v>
      </c>
      <c r="N18" s="3">
        <f t="shared" si="2"/>
        <v>0</v>
      </c>
      <c r="O18" s="3">
        <f t="shared" si="2"/>
        <v>0</v>
      </c>
      <c r="P18" s="3">
        <f t="shared" ref="P18:Y18" si="4">MAX(P21:P200)</f>
        <v>0</v>
      </c>
      <c r="Q18" s="3">
        <f t="shared" si="4"/>
        <v>0</v>
      </c>
      <c r="R18" s="3">
        <f t="shared" si="4"/>
        <v>0</v>
      </c>
      <c r="S18" s="3"/>
      <c r="T18" s="3"/>
      <c r="U18" s="3">
        <f t="shared" si="4"/>
        <v>0</v>
      </c>
      <c r="V18" s="3">
        <f t="shared" si="4"/>
        <v>0</v>
      </c>
      <c r="W18" s="3">
        <f t="shared" si="4"/>
        <v>0</v>
      </c>
      <c r="X18" s="3">
        <f t="shared" si="4"/>
        <v>0</v>
      </c>
      <c r="Y18" s="3">
        <f t="shared" si="4"/>
        <v>0</v>
      </c>
      <c r="Z18" s="24"/>
    </row>
    <row r="19" spans="1:26" ht="15.75" thickBot="1" x14ac:dyDescent="0.3">
      <c r="A19" s="15" t="s">
        <v>7</v>
      </c>
      <c r="B19" s="6"/>
      <c r="C19" s="6"/>
      <c r="D19" s="4">
        <f>MIN(D21:D200)</f>
        <v>0</v>
      </c>
      <c r="E19" s="4">
        <f t="shared" ref="E19:O19" si="5">MIN(E21:E200)</f>
        <v>0</v>
      </c>
      <c r="F19" s="4">
        <f t="shared" si="5"/>
        <v>0</v>
      </c>
      <c r="G19" s="4">
        <f t="shared" si="5"/>
        <v>0</v>
      </c>
      <c r="H19" s="4">
        <f t="shared" si="5"/>
        <v>0</v>
      </c>
      <c r="I19" s="4">
        <f t="shared" si="5"/>
        <v>0</v>
      </c>
      <c r="J19" s="4">
        <f t="shared" si="5"/>
        <v>0</v>
      </c>
      <c r="K19" s="4">
        <f t="shared" si="5"/>
        <v>0</v>
      </c>
      <c r="L19" s="4">
        <f t="shared" ref="L19" si="6">MIN(L21:L200)</f>
        <v>0</v>
      </c>
      <c r="M19" s="4"/>
      <c r="N19" s="4">
        <f t="shared" si="5"/>
        <v>0</v>
      </c>
      <c r="O19" s="4">
        <f t="shared" si="5"/>
        <v>0</v>
      </c>
      <c r="P19" s="4">
        <f t="shared" ref="P19:Y19" si="7">MIN(P21:P200)</f>
        <v>0</v>
      </c>
      <c r="Q19" s="4">
        <f t="shared" si="7"/>
        <v>0</v>
      </c>
      <c r="R19" s="4">
        <f t="shared" si="7"/>
        <v>0</v>
      </c>
      <c r="S19" s="4"/>
      <c r="T19" s="4"/>
      <c r="U19" s="4">
        <f t="shared" si="7"/>
        <v>0</v>
      </c>
      <c r="V19" s="4">
        <f t="shared" si="7"/>
        <v>0</v>
      </c>
      <c r="W19" s="4">
        <f t="shared" si="7"/>
        <v>0</v>
      </c>
      <c r="X19" s="4">
        <f t="shared" si="7"/>
        <v>0</v>
      </c>
      <c r="Y19" s="4">
        <f t="shared" si="7"/>
        <v>0</v>
      </c>
      <c r="Z19" s="24"/>
    </row>
    <row r="20" spans="1:26" x14ac:dyDescent="0.25">
      <c r="A20" s="18" t="s">
        <v>2</v>
      </c>
      <c r="B20" s="13" t="s">
        <v>16</v>
      </c>
      <c r="C20" s="13" t="s">
        <v>3</v>
      </c>
      <c r="D20" s="17" t="s">
        <v>28</v>
      </c>
      <c r="E20" s="17" t="s">
        <v>29</v>
      </c>
      <c r="F20" s="17" t="s">
        <v>30</v>
      </c>
      <c r="G20" s="17" t="s">
        <v>31</v>
      </c>
      <c r="H20" s="17" t="s">
        <v>32</v>
      </c>
      <c r="I20" s="17" t="s">
        <v>33</v>
      </c>
      <c r="J20" s="17" t="s">
        <v>34</v>
      </c>
      <c r="K20" s="17" t="s">
        <v>35</v>
      </c>
      <c r="L20" s="17" t="s">
        <v>21</v>
      </c>
      <c r="M20" s="17" t="s">
        <v>22</v>
      </c>
      <c r="N20" s="17" t="s">
        <v>23</v>
      </c>
      <c r="O20" s="17" t="s">
        <v>24</v>
      </c>
      <c r="P20" s="17" t="s">
        <v>25</v>
      </c>
      <c r="Q20" s="17" t="s">
        <v>26</v>
      </c>
      <c r="R20" s="17" t="s">
        <v>27</v>
      </c>
      <c r="S20" s="17" t="s">
        <v>36</v>
      </c>
      <c r="T20" s="17" t="s">
        <v>49</v>
      </c>
      <c r="U20" s="17" t="s">
        <v>38</v>
      </c>
      <c r="V20" s="17" t="s">
        <v>39</v>
      </c>
      <c r="W20" s="17" t="s">
        <v>40</v>
      </c>
      <c r="X20" s="17" t="s">
        <v>41</v>
      </c>
      <c r="Y20" s="17" t="s">
        <v>42</v>
      </c>
      <c r="Z20" s="24" t="s">
        <v>15</v>
      </c>
    </row>
  </sheetData>
  <mergeCells count="3">
    <mergeCell ref="D15:K15"/>
    <mergeCell ref="L15:S15"/>
    <mergeCell ref="U15:Y15"/>
  </mergeCells>
  <pageMargins left="0.75" right="0.75" top="1" bottom="1" header="0.5" footer="0.5"/>
  <pageSetup orientation="portrait" horizontalDpi="4294967293" verticalDpi="4294967293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team_list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Savage</cp:lastModifiedBy>
  <dcterms:created xsi:type="dcterms:W3CDTF">2018-02-07T22:32:44Z</dcterms:created>
  <dcterms:modified xsi:type="dcterms:W3CDTF">2025-02-26T18:36:16Z</dcterms:modified>
</cp:coreProperties>
</file>