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savag\OneDrive\Documents\Github\573_Lead_Scouting_App\Scouting Laptop Files\"/>
    </mc:Choice>
  </mc:AlternateContent>
  <xr:revisionPtr revIDLastSave="0" documentId="13_ncr:1_{91959D45-58CD-4A3A-B988-0F15B280E762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ummary" sheetId="1" r:id="rId1"/>
    <sheet name="Graphs" sheetId="4" r:id="rId2"/>
    <sheet name="team_list" sheetId="3" r:id="rId3"/>
    <sheet name="template" sheetId="2" r:id="rId4"/>
  </sheets>
  <definedNames>
    <definedName name="_xlnm._FilterDatabase" localSheetId="0" hidden="1">Summary!$A$8:$AN$8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9" i="1" l="1"/>
  <c r="B10" i="1"/>
  <c r="L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M9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B70" i="1"/>
  <c r="C70" i="1"/>
  <c r="C9" i="1"/>
  <c r="S18" i="2"/>
  <c r="S19" i="2"/>
  <c r="S17" i="2"/>
  <c r="D18" i="2"/>
  <c r="D19" i="2"/>
  <c r="D17" i="2"/>
  <c r="E19" i="2"/>
  <c r="E18" i="2"/>
  <c r="E17" i="2"/>
  <c r="F19" i="2" l="1"/>
  <c r="F17" i="2"/>
  <c r="F18" i="2"/>
  <c r="G19" i="2" l="1"/>
  <c r="G18" i="2"/>
  <c r="G17" i="2"/>
  <c r="H19" i="2" l="1"/>
  <c r="H18" i="2"/>
  <c r="H17" i="2"/>
  <c r="I19" i="2" l="1"/>
  <c r="I18" i="2"/>
  <c r="I17" i="2"/>
  <c r="J19" i="2" l="1"/>
  <c r="J18" i="2"/>
  <c r="J17" i="2"/>
  <c r="L18" i="2" l="1"/>
  <c r="L17" i="2"/>
  <c r="L19" i="2"/>
  <c r="K18" i="2"/>
  <c r="K19" i="2"/>
  <c r="K17" i="2"/>
  <c r="M18" i="2" l="1"/>
  <c r="M17" i="2"/>
  <c r="N19" i="2" l="1"/>
  <c r="N18" i="2"/>
  <c r="N17" i="2"/>
  <c r="O17" i="2" l="1"/>
  <c r="O19" i="2"/>
  <c r="O18" i="2"/>
  <c r="P17" i="2" l="1"/>
  <c r="P18" i="2"/>
  <c r="P19" i="2"/>
  <c r="Q17" i="2" l="1"/>
  <c r="Q19" i="2"/>
  <c r="Q18" i="2"/>
  <c r="R19" i="2" l="1"/>
  <c r="R18" i="2"/>
  <c r="R17" i="2"/>
  <c r="U18" i="2" l="1"/>
  <c r="U19" i="2"/>
  <c r="U17" i="2"/>
  <c r="V17" i="2" l="1"/>
  <c r="V18" i="2"/>
  <c r="V19" i="2"/>
  <c r="W19" i="2" l="1"/>
  <c r="W17" i="2"/>
  <c r="W18" i="2"/>
  <c r="X18" i="2" l="1"/>
  <c r="X17" i="2"/>
  <c r="X19" i="2"/>
  <c r="Y17" i="2" l="1"/>
  <c r="Y18" i="2"/>
  <c r="Y19" i="2"/>
</calcChain>
</file>

<file path=xl/sharedStrings.xml><?xml version="1.0" encoding="utf-8"?>
<sst xmlns="http://schemas.openxmlformats.org/spreadsheetml/2006/main" count="183" uniqueCount="94">
  <si>
    <t>Team Number</t>
  </si>
  <si>
    <t>Team Name</t>
  </si>
  <si>
    <t>Match #</t>
  </si>
  <si>
    <t>Scouter Name</t>
  </si>
  <si>
    <t>Teleop</t>
  </si>
  <si>
    <t>Pit Scouting</t>
  </si>
  <si>
    <t>Max</t>
  </si>
  <si>
    <t>Min</t>
  </si>
  <si>
    <t>Match Scouting</t>
  </si>
  <si>
    <t>Mech Warriors</t>
  </si>
  <si>
    <t>Team Summary</t>
  </si>
  <si>
    <t>Average Results</t>
  </si>
  <si>
    <t>Max Results</t>
  </si>
  <si>
    <t>Min Results</t>
  </si>
  <si>
    <t>Autonomous</t>
  </si>
  <si>
    <t>Comments</t>
  </si>
  <si>
    <t>Alliance Color</t>
  </si>
  <si>
    <t>Average</t>
  </si>
  <si>
    <t>Strengths</t>
  </si>
  <si>
    <t>Drivetrain type</t>
  </si>
  <si>
    <t>Auto</t>
  </si>
  <si>
    <t>L1 Coral</t>
  </si>
  <si>
    <t>L2 Coral</t>
  </si>
  <si>
    <t>L3 Coral</t>
  </si>
  <si>
    <t>L4 Coral</t>
  </si>
  <si>
    <t>Algae Displaced</t>
  </si>
  <si>
    <t>Algae Processed</t>
  </si>
  <si>
    <t>Algae Barge</t>
  </si>
  <si>
    <t>Auto L1 Coral</t>
  </si>
  <si>
    <t>Auto L2 Coral</t>
  </si>
  <si>
    <t>Auto L3 Coral</t>
  </si>
  <si>
    <t>Auto L4 Coral</t>
  </si>
  <si>
    <t>Auto Algae Displaced</t>
  </si>
  <si>
    <t>Auto Algae Processed</t>
  </si>
  <si>
    <t>Auto Algae Barge</t>
  </si>
  <si>
    <t>Auto Leave</t>
  </si>
  <si>
    <t>Defense Type</t>
  </si>
  <si>
    <t>Endgame</t>
  </si>
  <si>
    <t>Attempt Shallow</t>
  </si>
  <si>
    <t>Shallow Climb</t>
  </si>
  <si>
    <t>Attempt Deep</t>
  </si>
  <si>
    <t>Deep Climb</t>
  </si>
  <si>
    <t>Parked</t>
  </si>
  <si>
    <t>Coral Abilities</t>
  </si>
  <si>
    <t>Algae Abilities</t>
  </si>
  <si>
    <t>Auto Info</t>
  </si>
  <si>
    <t>Cage Ability</t>
  </si>
  <si>
    <t>Fit Under Shallow Cage</t>
  </si>
  <si>
    <t>Drivetrain</t>
  </si>
  <si>
    <t>Penalties</t>
  </si>
  <si>
    <t>Defense</t>
  </si>
  <si>
    <t>Auto Total Coral Scored</t>
  </si>
  <si>
    <t>Auto Total Algae Scored</t>
  </si>
  <si>
    <t>TeleOp Total Coral Scored</t>
  </si>
  <si>
    <t>Teleop Total Algae Scored</t>
  </si>
  <si>
    <t>The Juggernauts</t>
  </si>
  <si>
    <t>Team RUSH</t>
  </si>
  <si>
    <t>More Martians</t>
  </si>
  <si>
    <t>Adambots</t>
  </si>
  <si>
    <t>Martians</t>
  </si>
  <si>
    <t>The Power Chargers</t>
  </si>
  <si>
    <t>The Foley Freeze</t>
  </si>
  <si>
    <t>The Polar Pilots</t>
  </si>
  <si>
    <t>Desperate Penguins</t>
  </si>
  <si>
    <t>The Oxford RoboCats</t>
  </si>
  <si>
    <t>HAZMATS</t>
  </si>
  <si>
    <t>House of Cards</t>
  </si>
  <si>
    <t>Kingston Robo-Cards</t>
  </si>
  <si>
    <t>TESLA</t>
  </si>
  <si>
    <t>Team FridgeBot</t>
  </si>
  <si>
    <t>Hybrid Hornets</t>
  </si>
  <si>
    <t>MarauderBots</t>
  </si>
  <si>
    <t>Gears of Fortune</t>
  </si>
  <si>
    <t>Owosso Robotics</t>
  </si>
  <si>
    <t>Railroader Robotics</t>
  </si>
  <si>
    <t>Strike Zone</t>
  </si>
  <si>
    <t>Byron Robotics</t>
  </si>
  <si>
    <t>Bearcats</t>
  </si>
  <si>
    <t>The Underdogs</t>
  </si>
  <si>
    <t>Rocket Robotics</t>
  </si>
  <si>
    <t>Twin River Robotics</t>
  </si>
  <si>
    <t>Cyber Soldiers</t>
  </si>
  <si>
    <t>Vassar Voltage</t>
  </si>
  <si>
    <t>Steel Stingers</t>
  </si>
  <si>
    <t>Metal Madness</t>
  </si>
  <si>
    <t>Redneck Robotics</t>
  </si>
  <si>
    <t>Laker Dreadnoughts</t>
  </si>
  <si>
    <t>Circuit Breakers</t>
  </si>
  <si>
    <t>Bionic Bucs</t>
  </si>
  <si>
    <t>Mecha Marauders</t>
  </si>
  <si>
    <t>Gator Gears</t>
  </si>
  <si>
    <t>Jaguar Byte</t>
  </si>
  <si>
    <t>Genesee Wolves</t>
  </si>
  <si>
    <t>WAY Flint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</si>
</sst>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0" borderId="1" xfId="0" applyBorder="1"/>
    <xf numFmtId="0" fontId="0" fillId="0" borderId="5" xfId="0" applyBorder="1"/>
    <xf numFmtId="0" fontId="0" fillId="3" borderId="1" xfId="0" applyFill="1" applyBorder="1"/>
    <xf numFmtId="0" fontId="0" fillId="3" borderId="5" xfId="0" applyFill="1" applyBorder="1"/>
    <xf numFmtId="0" fontId="1" fillId="0" borderId="1" xfId="0" applyFont="1" applyBorder="1"/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4" xfId="0" applyBorder="1"/>
    <xf numFmtId="0" fontId="0" fillId="0" borderId="7" xfId="0" applyBorder="1" applyAlignment="1">
      <alignment horizontal="center"/>
    </xf>
    <xf numFmtId="0" fontId="1" fillId="0" borderId="6" xfId="0" applyFont="1" applyBorder="1"/>
    <xf numFmtId="0" fontId="0" fillId="0" borderId="8" xfId="0" applyBorder="1"/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/>
    </xf>
    <xf numFmtId="0" fontId="0" fillId="0" borderId="11" xfId="0" applyBorder="1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33"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fill>
        <patternFill patternType="solid">
          <fgColor indexed="64"/>
          <bgColor theme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fill>
        <patternFill patternType="solid">
          <fgColor indexed="64"/>
          <bgColor theme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Auto Coral</a:t>
            </a:r>
            <a:r>
              <a:rPr lang="en-US" baseline="0"/>
              <a:t> vs Teleop Coral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F8BE1400-E9E3-4B88-8547-4E9AD071890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567-419D-B9DF-55228A7EADD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06AF650-1D98-41BB-8109-EFD047C2ED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567-419D-B9DF-55228A7EADD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E144049-AAC2-4508-9D29-6FD5AA9BA1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567-419D-B9DF-55228A7EADD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D1F0D69-1595-436A-9766-18C09C0D32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567-419D-B9DF-55228A7EADD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6811F3E-173E-4BE9-98DE-0C6B60BB82D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567-419D-B9DF-55228A7EADD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7F64B7D-309F-42EF-8373-30E59BCF8E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567-419D-B9DF-55228A7EADD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7B1B394-26CC-4EDC-8C4D-B42C7A5864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567-419D-B9DF-55228A7EADD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F3BE4B9-61EF-408C-9837-DB7728459E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567-419D-B9DF-55228A7EADD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D13F82C-2983-4C67-94FB-530D1FC688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567-419D-B9DF-55228A7EADD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5142C0F-9C4B-4EB1-A5CA-CCDD45E8FA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8567-419D-B9DF-55228A7EADD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0033B631-B9A7-41DF-B2D4-837B6E6AC7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8567-419D-B9DF-55228A7EADD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0D654907-88CB-4A34-8F37-DE78979338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8567-419D-B9DF-55228A7EADD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9523508-4791-48E6-82FC-B44B324BD2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8567-419D-B9DF-55228A7EADD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96ED835-E09D-4BEE-9533-29512E5ED7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8567-419D-B9DF-55228A7EADD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66D327C-B4AB-4F97-B8A8-7092736136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8567-419D-B9DF-55228A7EADD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A1B1903C-6275-4BC8-A94A-3E4BCD689D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8567-419D-B9DF-55228A7EADD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849F1B11-879F-45D1-93F1-0C3F7345FE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8567-419D-B9DF-55228A7EADD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919B012-14EB-4AA2-A99F-EED8F45D08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8567-419D-B9DF-55228A7EADD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5560F421-A1CB-4EBD-80DB-35A5F7097C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8567-419D-B9DF-55228A7EADDC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B1DF78C0-8B0B-440E-9344-CF455D8F87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8567-419D-B9DF-55228A7EADDC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517CF7F1-CEE5-41ED-8445-E465518D8B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8567-419D-B9DF-55228A7EADD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26B28125-D09E-4BE3-AB74-1C77428805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8567-419D-B9DF-55228A7EADDC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E53F1991-6C18-4FD7-AD1B-934F85E568A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8567-419D-B9DF-55228A7EADD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32078CF3-A90E-49AD-B049-2565FC8F2E7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8567-419D-B9DF-55228A7EADDC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A7770017-5BB8-400B-8898-3D05E5E6B4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8567-419D-B9DF-55228A7EADDC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10DADB01-C18A-4114-95E7-4DE179091F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8567-419D-B9DF-55228A7EADDC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6713E01D-2DF3-49E1-A179-98EB1FB4D1E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8567-419D-B9DF-55228A7EADDC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530FAD41-BE5F-4D69-AEEB-164C3BA072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8567-419D-B9DF-55228A7EADDC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DFBBCE72-65E0-4E25-824A-7990EF4447F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8567-419D-B9DF-55228A7EADDC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E953DC98-AED1-4754-B417-52C88042E6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8567-419D-B9DF-55228A7EADDC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614E269C-E499-431C-990E-5A1751083A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8567-419D-B9DF-55228A7EADDC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BD189A0D-103F-4379-A00A-CC5FA867A3E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8567-419D-B9DF-55228A7EADDC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407989B0-473D-4FBD-9424-7AB11D460D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8567-419D-B9DF-55228A7EADDC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BC5D477C-5A29-4A80-A04C-7BBAFF18666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8567-419D-B9DF-55228A7EADDC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0A111713-256D-45C9-9357-69C0F48E1A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8567-419D-B9DF-55228A7EADDC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F55758B7-CA96-465D-99CF-DF7B5C5782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8567-419D-B9DF-55228A7EADDC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772F5082-6ECB-4042-A11F-9AAB1706A0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8567-419D-B9DF-55228A7EADDC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A04DD6B5-5EE6-422A-8735-D54D9A3B81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8567-419D-B9DF-55228A7EADDC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A3D979F4-9FB6-42E5-A931-CCB1678D59A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8567-419D-B9DF-55228A7EADDC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C6AD5E50-26D6-4645-94C0-FFEE831751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8567-419D-B9DF-55228A7EADDC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fld id="{F28B9739-8D8C-4763-ACB8-9C2EA95951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8567-419D-B9DF-55228A7EADDC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fld id="{EB9C26DE-84B8-4EE7-AF54-7EBC72A179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8567-419D-B9DF-55228A7EAD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Summary!$L$9:$L$50</c:f>
              <c:numCache>
                <c:formatCode>General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xVal>
          <c:yVal>
            <c:numRef>
              <c:f>Summary!$B$9:$B$50</c:f>
              <c:numCache>
                <c:formatCode>General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Summary!$A$9:$A$50</c15:f>
                <c15:dlblRangeCache>
                  <c:ptCount val="42"/>
                </c15:dlblRangeCache>
              </c15:datalabelsRange>
            </c:ext>
            <c:ext xmlns:c16="http://schemas.microsoft.com/office/drawing/2014/chart" uri="{C3380CC4-5D6E-409C-BE32-E72D297353CC}">
              <c16:uniqueId val="{00000010-8567-419D-B9DF-55228A7EA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2300543"/>
        <c:axId val="1992301023"/>
      </c:scatterChart>
      <c:valAx>
        <c:axId val="19923005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</a:t>
                </a:r>
                <a:r>
                  <a:rPr lang="en-US" baseline="0"/>
                  <a:t> Tele Op Coral Score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301023"/>
        <c:crosses val="autoZero"/>
        <c:crossBetween val="midCat"/>
      </c:valAx>
      <c:valAx>
        <c:axId val="19923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</a:t>
                </a:r>
                <a:r>
                  <a:rPr lang="en-US" baseline="0"/>
                  <a:t> Auto Coral Score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300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Teleop Algae vs. Teleop Coral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3A91387-9903-4A9E-8E6D-8B75A544352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284-4300-AACD-8298C9C227E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E6DD5B6-5FE7-4570-AFF2-6E811D35CE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284-4300-AACD-8298C9C227E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E707A83-A8FB-47D5-B8F2-AC6B8D0C336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284-4300-AACD-8298C9C227E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2C15855-4C5E-41D7-8872-2181241D73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284-4300-AACD-8298C9C227E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937E850-D884-4DAC-931B-3BCAA060DC1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284-4300-AACD-8298C9C227E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0DDF559-9F40-4C41-9150-317097EA63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284-4300-AACD-8298C9C227E2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D2B5C4E-BE32-4F81-A5DD-9B992FD73A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284-4300-AACD-8298C9C227E2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96DC9AA-9D84-4AF9-9A51-28C4121D7E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F284-4300-AACD-8298C9C227E2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4A63DBF-4545-493D-BAFD-1944B52373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284-4300-AACD-8298C9C227E2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2645613-9CEC-4B5D-ACA8-A73B1AFD1D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F284-4300-AACD-8298C9C227E2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6CD113CE-652B-45C3-9481-6967CEAB3A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F284-4300-AACD-8298C9C227E2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507E093-01D1-4C0E-AA29-C8A245FE09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F284-4300-AACD-8298C9C227E2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0761AB8-627A-4468-A204-F2D0BEC6D8E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F284-4300-AACD-8298C9C227E2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ABF4F94-4FBE-42CC-9261-ADA3DFF4E7B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F284-4300-AACD-8298C9C227E2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10C8E88-CFE9-44D8-82F8-6233C26C46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284-4300-AACD-8298C9C227E2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396B1955-AB45-45E7-95E6-6F2F4441CD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F284-4300-AACD-8298C9C227E2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3BAED872-A5C1-4990-AA67-53EC5ECFDD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284-4300-AACD-8298C9C227E2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B00D497-5F9C-42DC-B6C1-76EA0B2019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284-4300-AACD-8298C9C227E2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42E3E91C-9591-40DF-A6C4-7541EB3B84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284-4300-AACD-8298C9C227E2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4C1666DD-3C80-45B3-B431-A38D011602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284-4300-AACD-8298C9C227E2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32B0C566-9845-4376-888F-3958D127BA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284-4300-AACD-8298C9C227E2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FD2F0F95-6F65-4B8B-9F7A-199732ED927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F284-4300-AACD-8298C9C227E2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75A50E83-221F-4674-A942-0420B23897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F284-4300-AACD-8298C9C227E2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2FFD1CD-0120-481D-A137-BA59A85667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F284-4300-AACD-8298C9C227E2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309AF495-F25E-4A37-8B5D-66344D8C38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F284-4300-AACD-8298C9C227E2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C2D40653-1771-4623-8638-1F9AE68DBE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F284-4300-AACD-8298C9C227E2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2F87C9D9-ACED-4524-9196-514A3BF180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F284-4300-AACD-8298C9C227E2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E8127628-50F6-48DF-B656-F4680781C8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F284-4300-AACD-8298C9C227E2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068136EB-3324-4261-B759-3874181BE6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F284-4300-AACD-8298C9C227E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DB1DCF48-7445-46F8-9349-AD795B0678E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F284-4300-AACD-8298C9C227E2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16431851-84D7-4592-AE82-469A19D49D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F284-4300-AACD-8298C9C227E2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C1D1CCC3-1D7C-4DF6-90AF-29BFF31B97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F284-4300-AACD-8298C9C227E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6D1008BE-C40C-4EB1-9187-4757C86E68A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284-4300-AACD-8298C9C227E2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F3D10566-A2CC-4D6B-B8E2-934E68ABB3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F284-4300-AACD-8298C9C227E2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123E3B00-D28C-4E47-87F5-9DBAB861F0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F284-4300-AACD-8298C9C227E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5009C2CB-64B1-41B2-B3F9-F5DE75B605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F284-4300-AACD-8298C9C227E2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FEE20BC8-B675-438C-93C0-19BEE51777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F284-4300-AACD-8298C9C227E2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37B0676F-8F5D-4CF0-BAD2-1950D3872A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F284-4300-AACD-8298C9C227E2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84356EF-E29C-4528-A1D6-7C995733CF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F284-4300-AACD-8298C9C227E2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BAA7C6DE-2E7F-4C35-9058-4E4C26213A8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F284-4300-AACD-8298C9C227E2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fld id="{2BFAE14B-24C6-472D-8AEC-F25A895B8F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F284-4300-AACD-8298C9C227E2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fld id="{9CE02E93-8392-419A-8378-07DC0409377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F284-4300-AACD-8298C9C227E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Summary!$L$9:$L$50</c:f>
              <c:numCache>
                <c:formatCode>General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xVal>
          <c:yVal>
            <c:numRef>
              <c:f>Summary!$M$9:$M$50</c:f>
              <c:numCache>
                <c:formatCode>General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Summary!$A$9:$A$50</c15:f>
                <c15:dlblRangeCache>
                  <c:ptCount val="42"/>
                </c15:dlblRangeCache>
              </c15:datalabelsRange>
            </c:ext>
            <c:ext xmlns:c16="http://schemas.microsoft.com/office/drawing/2014/chart" uri="{C3380CC4-5D6E-409C-BE32-E72D297353CC}">
              <c16:uniqueId val="{0000002A-F284-4300-AACD-8298C9C22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2300543"/>
        <c:axId val="1992301023"/>
      </c:scatterChart>
      <c:valAx>
        <c:axId val="19923005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</a:t>
                </a:r>
                <a:r>
                  <a:rPr lang="en-US" baseline="0"/>
                  <a:t> Tele Op Coral Score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301023"/>
        <c:crosses val="autoZero"/>
        <c:crossBetween val="midCat"/>
      </c:valAx>
      <c:valAx>
        <c:axId val="19923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</a:t>
                </a:r>
                <a:r>
                  <a:rPr lang="en-US" baseline="0"/>
                  <a:t> Tele Op Algae Score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300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152400</xdr:colOff>
      <xdr:row>4</xdr:row>
      <xdr:rowOff>104775</xdr:rowOff>
    </xdr:from>
    <xdr:to>
      <xdr:col>12</xdr:col>
      <xdr:colOff>323850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1D4897-8AC0-5A59-493D-E56C475D23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285750</xdr:colOff>
      <xdr:row>4</xdr:row>
      <xdr:rowOff>123825</xdr:rowOff>
    </xdr:from>
    <xdr:to>
      <xdr:col>23</xdr:col>
      <xdr:colOff>457200</xdr:colOff>
      <xdr:row>25</xdr:row>
      <xdr:rowOff>28574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8D2834-6512-4307-BE2A-C54142DFC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9A9134-5A48-4690-8E03-B41419A45991}" name="Table5" displayName="Table5" ref="A16:Z20" totalsRowShown="0" headerRowDxfId="32" headerRowBorderDxfId="31" tableBorderDxfId="30" totalsRowBorderDxfId="29">
  <tableColumns count="26">
    <tableColumn id="1" xr3:uid="{F16D52E8-F1B0-4725-9A27-45D91C19A5A4}" name="Match #" dataDxfId="28"/>
    <tableColumn id="2" xr3:uid="{3726BEAE-513B-47AE-A1AE-66F34444D173}" name="Alliance Color" dataDxfId="27"/>
    <tableColumn id="3" xr3:uid="{C971C71B-CEBE-461E-B3C0-B5468140EF01}" name="Scouter Name" dataDxfId="26"/>
    <tableColumn id="5" xr3:uid="{73624BFB-8EC0-4B5C-89EA-8A36B95A15D7}" name="Auto L1 Coral" dataDxfId="25"/>
    <tableColumn id="6" xr3:uid="{C2F0C0CE-ABBF-494D-8360-E886D43B1D5B}" name="Auto L2 Coral" dataDxfId="24"/>
    <tableColumn id="7" xr3:uid="{0DFDE256-C59F-45F3-A998-E024897F9A27}" name="Auto L3 Coral" dataDxfId="23"/>
    <tableColumn id="15" xr3:uid="{544F3B90-5F35-4248-B0CD-545368205A9D}" name="Auto L4 Coral" dataDxfId="22"/>
    <tableColumn id="14" xr3:uid="{79687526-1EAD-4CBC-B065-C369B75BA7AE}" name="Auto Algae Displaced" dataDxfId="21"/>
    <tableColumn id="13" xr3:uid="{D0BBC55B-9CC1-42C0-8DCD-9D2810C3BCFC}" name="Auto Algae Processed" dataDxfId="20"/>
    <tableColumn id="4" xr3:uid="{069240F9-D2A0-4E48-B0A5-A592A1267C39}" name="Auto Algae Barge" dataDxfId="19"/>
    <tableColumn id="8" xr3:uid="{738F6C5C-DEE0-4635-8D26-EC6F98C7864D}" name="Auto Leave" dataDxfId="18"/>
    <tableColumn id="18" xr3:uid="{004FC33A-DDF9-4910-B0A0-67E6EFB8DAFA}" name="L1 Coral" dataDxfId="17"/>
    <tableColumn id="9" xr3:uid="{42EB9B00-AE97-4FC3-BBBD-481E41257273}" name="L2 Coral" dataDxfId="16"/>
    <tableColumn id="10" xr3:uid="{D01BB072-7A5B-4A74-89D7-756AD36CF372}" name="L3 Coral" dataDxfId="15"/>
    <tableColumn id="11" xr3:uid="{CAD660AF-D41C-448C-ABE2-C6A38E71B326}" name="L4 Coral" dataDxfId="14"/>
    <tableColumn id="12" xr3:uid="{6A6E1A69-8D5E-4BC3-97EB-6D439DAC7BAD}" name="Algae Displaced" dataDxfId="13"/>
    <tableColumn id="16" xr3:uid="{FBD4BB79-C339-4411-B407-08124A310618}" name="Algae Processed" dataDxfId="12"/>
    <tableColumn id="17" xr3:uid="{4FFAAD0A-C272-4914-B323-F386EC579D15}" name="Algae Barge" dataDxfId="11"/>
    <tableColumn id="19" xr3:uid="{F08BB07F-AF82-43A7-AB1E-3757A6A009C0}" name="Defense Type" dataDxfId="10"/>
    <tableColumn id="25" xr3:uid="{34C8B8AD-4857-4250-9D7A-74E1EE26B273}" name="Penalties" dataDxfId="9"/>
    <tableColumn id="20" xr3:uid="{A2FE9A20-CA84-4B02-8D4B-58262E55CADE}" name="Attempt Shallow" dataDxfId="8"/>
    <tableColumn id="21" xr3:uid="{4FBD2F12-FEC0-406D-9DC4-F1668EE01285}" name="Shallow Climb" dataDxfId="7"/>
    <tableColumn id="22" xr3:uid="{3841B7EE-DD32-43A6-8EBC-B9806F0EC8DF}" name="Attempt Deep" dataDxfId="6"/>
    <tableColumn id="23" xr3:uid="{3D17D85C-42F6-440C-918A-ABA6F4393650}" name="Deep Climb" dataDxfId="5"/>
    <tableColumn id="24" xr3:uid="{6D341FC6-3AAF-4816-881F-BE51D86F8D69}" name="Parked" dataDxfId="4"/>
    <tableColumn id="26" xr3:uid="{ED361E7A-641A-422B-8079-3195B5A7CA05}" name="Comments" dataDxfId="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1508BC-A90F-4BCF-A6C7-5EE7B6956DF7}" name="Table7" displayName="Table7" ref="A1:A12" totalsRowShown="0" headerRowDxfId="2" headerRowBorderDxfId="1" tableBorderDxfId="0">
  <autoFilter ref="A1:A12" xr:uid="{351508BC-A90F-4BCF-A6C7-5EE7B6956DF7}"/>
  <tableColumns count="1">
    <tableColumn id="1" xr3:uid="{EC75A18F-7806-48C6-B018-3520F72D5CF8}" name="Team Numb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70"/>
  <sheetViews>
    <sheetView workbookViewId="0">
      <selection activeCell="A12" sqref="A12"/>
    </sheetView>
  </sheetViews>
  <sheetFormatPr defaultRowHeight="15" x14ac:dyDescent="0.25"/>
  <cols>
    <col min="1" max="1" width="22.28515625" bestFit="1" customWidth="1"/>
    <col min="2" max="3" width="22.28515625" customWidth="1"/>
    <col min="4" max="7" width="12.5703125" bestFit="1" customWidth="1"/>
    <col min="8" max="8" width="20" bestFit="1" customWidth="1"/>
    <col min="9" max="9" width="20.42578125" bestFit="1" customWidth="1"/>
    <col min="10" max="10" width="16.28515625" bestFit="1" customWidth="1"/>
    <col min="11" max="11" width="10.85546875" bestFit="1" customWidth="1"/>
    <col min="12" max="12" width="24.140625" bestFit="1" customWidth="1"/>
    <col min="13" max="13" width="24.28515625" bestFit="1" customWidth="1"/>
    <col min="14" max="17" width="7.85546875" bestFit="1" customWidth="1"/>
    <col min="18" max="18" width="15.140625" bestFit="1" customWidth="1"/>
    <col min="19" max="19" width="15.5703125" bestFit="1" customWidth="1"/>
    <col min="20" max="20" width="11.42578125" bestFit="1" customWidth="1"/>
    <col min="21" max="21" width="16" bestFit="1" customWidth="1"/>
    <col min="22" max="23" width="13.7109375" bestFit="1" customWidth="1"/>
    <col min="24" max="24" width="11.28515625" bestFit="1" customWidth="1"/>
    <col min="25" max="25" width="7.140625" bestFit="1" customWidth="1"/>
    <col min="26" max="29" width="12.5703125" bestFit="1" customWidth="1"/>
    <col min="30" max="30" width="20" bestFit="1" customWidth="1"/>
    <col min="31" max="31" width="20.42578125" bestFit="1" customWidth="1"/>
    <col min="32" max="32" width="16.28515625" bestFit="1" customWidth="1"/>
    <col min="33" max="33" width="10.85546875" bestFit="1" customWidth="1"/>
    <col min="34" max="37" width="7.85546875" bestFit="1" customWidth="1"/>
    <col min="38" max="38" width="15.140625" bestFit="1" customWidth="1"/>
    <col min="39" max="39" width="15.5703125" bestFit="1" customWidth="1"/>
    <col min="40" max="40" width="11.42578125" bestFit="1" customWidth="1"/>
    <col min="41" max="44" width="12.5703125" bestFit="1" customWidth="1"/>
    <col min="45" max="45" width="20" bestFit="1" customWidth="1"/>
    <col min="46" max="46" width="20.42578125" bestFit="1" customWidth="1"/>
    <col min="47" max="47" width="16.28515625" bestFit="1" customWidth="1"/>
    <col min="48" max="48" width="10.85546875" bestFit="1" customWidth="1"/>
    <col min="49" max="52" width="7.85546875" bestFit="1" customWidth="1"/>
    <col min="53" max="53" width="15.140625" bestFit="1" customWidth="1"/>
    <col min="54" max="54" width="15.5703125" bestFit="1" customWidth="1"/>
    <col min="55" max="55" width="11.42578125" bestFit="1" customWidth="1"/>
    <col min="56" max="56" width="13" customWidth="1"/>
    <col min="57" max="57" width="18.28515625" bestFit="1" customWidth="1"/>
  </cols>
  <sheetData>
    <row r="1" spans="1:57" ht="26.25" x14ac:dyDescent="0.25">
      <c r="A1" s="26" t="s">
        <v>10</v>
      </c>
      <c r="B1" s="26"/>
      <c r="C1" s="26"/>
      <c r="D1" s="26"/>
      <c r="E1" s="26"/>
      <c r="F1" s="26"/>
      <c r="G1" s="26"/>
      <c r="H1" s="9"/>
    </row>
    <row r="2" spans="1:57" ht="26.25" x14ac:dyDescent="0.25">
      <c r="A2" s="26"/>
      <c r="B2" s="26"/>
      <c r="C2" s="26"/>
      <c r="D2" s="26"/>
      <c r="E2" s="26"/>
      <c r="F2" s="26"/>
      <c r="G2" s="26"/>
      <c r="H2" s="9"/>
    </row>
    <row r="4" spans="1:57" ht="23.25" x14ac:dyDescent="0.25">
      <c r="E4" s="8"/>
      <c r="F4" s="8"/>
      <c r="G4" s="8"/>
      <c r="H4" s="8"/>
    </row>
    <row r="5" spans="1:57" ht="23.25" x14ac:dyDescent="0.25">
      <c r="A5" s="8"/>
      <c r="B5" s="8"/>
      <c r="C5" s="8"/>
      <c r="D5" s="8"/>
      <c r="E5" s="8"/>
      <c r="F5" s="8"/>
      <c r="G5" s="8"/>
      <c r="H5" s="8"/>
    </row>
    <row r="6" spans="1:57" ht="23.25" x14ac:dyDescent="0.35">
      <c r="A6" s="25" t="s">
        <v>0</v>
      </c>
      <c r="B6" s="31" t="s">
        <v>11</v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2"/>
      <c r="Z6" s="33" t="s">
        <v>12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3" t="s">
        <v>13</v>
      </c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22" t="s">
        <v>50</v>
      </c>
      <c r="BE6" s="19" t="s">
        <v>5</v>
      </c>
    </row>
    <row r="7" spans="1:57" ht="15" customHeight="1" x14ac:dyDescent="0.25">
      <c r="B7" s="30" t="s">
        <v>20</v>
      </c>
      <c r="C7" s="30"/>
      <c r="D7" s="30"/>
      <c r="E7" s="30"/>
      <c r="F7" s="30"/>
      <c r="G7" s="30"/>
      <c r="H7" s="30"/>
      <c r="I7" s="30"/>
      <c r="J7" s="30"/>
      <c r="K7" s="30"/>
      <c r="L7" s="27" t="s">
        <v>4</v>
      </c>
      <c r="M7" s="28"/>
      <c r="N7" s="28"/>
      <c r="O7" s="28"/>
      <c r="P7" s="28"/>
      <c r="Q7" s="28"/>
      <c r="R7" s="28"/>
      <c r="S7" s="28"/>
      <c r="T7" s="29"/>
      <c r="U7" s="27" t="s">
        <v>37</v>
      </c>
      <c r="V7" s="28"/>
      <c r="W7" s="28"/>
      <c r="X7" s="28"/>
      <c r="Y7" s="29"/>
      <c r="Z7" s="27" t="s">
        <v>20</v>
      </c>
      <c r="AA7" s="28"/>
      <c r="AB7" s="28"/>
      <c r="AC7" s="28"/>
      <c r="AD7" s="28"/>
      <c r="AE7" s="28"/>
      <c r="AF7" s="28"/>
      <c r="AG7" s="29"/>
      <c r="AH7" s="27" t="s">
        <v>4</v>
      </c>
      <c r="AI7" s="28"/>
      <c r="AJ7" s="28"/>
      <c r="AK7" s="28"/>
      <c r="AL7" s="28"/>
      <c r="AM7" s="28"/>
      <c r="AN7" s="28"/>
      <c r="AO7" s="27" t="s">
        <v>20</v>
      </c>
      <c r="AP7" s="28"/>
      <c r="AQ7" s="28"/>
      <c r="AR7" s="28"/>
      <c r="AS7" s="28"/>
      <c r="AT7" s="28"/>
      <c r="AU7" s="28"/>
      <c r="AV7" s="29"/>
      <c r="AW7" s="27" t="s">
        <v>4</v>
      </c>
      <c r="AX7" s="28"/>
      <c r="AY7" s="28"/>
      <c r="AZ7" s="28"/>
      <c r="BA7" s="28"/>
      <c r="BB7" s="28"/>
      <c r="BC7" s="28"/>
      <c r="BD7" s="23" t="s">
        <v>50</v>
      </c>
      <c r="BE7" s="20" t="s">
        <v>5</v>
      </c>
    </row>
    <row r="8" spans="1:57" x14ac:dyDescent="0.25">
      <c r="A8" s="10" t="s">
        <v>0</v>
      </c>
      <c r="B8" s="10" t="s">
        <v>51</v>
      </c>
      <c r="C8" s="10" t="s">
        <v>52</v>
      </c>
      <c r="D8" s="10" t="s">
        <v>28</v>
      </c>
      <c r="E8" s="10" t="s">
        <v>29</v>
      </c>
      <c r="F8" s="10" t="s">
        <v>30</v>
      </c>
      <c r="G8" s="10" t="s">
        <v>31</v>
      </c>
      <c r="H8" s="10" t="s">
        <v>32</v>
      </c>
      <c r="I8" s="10" t="s">
        <v>33</v>
      </c>
      <c r="J8" s="10" t="s">
        <v>34</v>
      </c>
      <c r="K8" s="10" t="s">
        <v>35</v>
      </c>
      <c r="L8" s="10" t="s">
        <v>53</v>
      </c>
      <c r="M8" s="10" t="s">
        <v>54</v>
      </c>
      <c r="N8" s="10" t="s">
        <v>21</v>
      </c>
      <c r="O8" s="10" t="s">
        <v>22</v>
      </c>
      <c r="P8" s="10" t="s">
        <v>23</v>
      </c>
      <c r="Q8" s="10" t="s">
        <v>24</v>
      </c>
      <c r="R8" s="10" t="s">
        <v>25</v>
      </c>
      <c r="S8" s="10" t="s">
        <v>26</v>
      </c>
      <c r="T8" s="10" t="s">
        <v>27</v>
      </c>
      <c r="U8" s="10" t="s">
        <v>38</v>
      </c>
      <c r="V8" s="10" t="s">
        <v>39</v>
      </c>
      <c r="W8" s="10" t="s">
        <v>40</v>
      </c>
      <c r="X8" s="10" t="s">
        <v>41</v>
      </c>
      <c r="Y8" s="10" t="s">
        <v>42</v>
      </c>
      <c r="Z8" s="10" t="s">
        <v>28</v>
      </c>
      <c r="AA8" s="10" t="s">
        <v>29</v>
      </c>
      <c r="AB8" s="10" t="s">
        <v>30</v>
      </c>
      <c r="AC8" s="10" t="s">
        <v>31</v>
      </c>
      <c r="AD8" s="10" t="s">
        <v>32</v>
      </c>
      <c r="AE8" s="10" t="s">
        <v>33</v>
      </c>
      <c r="AF8" s="10" t="s">
        <v>34</v>
      </c>
      <c r="AG8" s="10" t="s">
        <v>35</v>
      </c>
      <c r="AH8" s="10" t="s">
        <v>21</v>
      </c>
      <c r="AI8" s="10" t="s">
        <v>22</v>
      </c>
      <c r="AJ8" s="10" t="s">
        <v>23</v>
      </c>
      <c r="AK8" s="10" t="s">
        <v>24</v>
      </c>
      <c r="AL8" s="10" t="s">
        <v>25</v>
      </c>
      <c r="AM8" s="10" t="s">
        <v>26</v>
      </c>
      <c r="AN8" s="10" t="s">
        <v>27</v>
      </c>
      <c r="AO8" s="10" t="s">
        <v>28</v>
      </c>
      <c r="AP8" s="10" t="s">
        <v>29</v>
      </c>
      <c r="AQ8" s="10" t="s">
        <v>30</v>
      </c>
      <c r="AR8" s="10" t="s">
        <v>31</v>
      </c>
      <c r="AS8" s="10" t="s">
        <v>32</v>
      </c>
      <c r="AT8" s="10" t="s">
        <v>33</v>
      </c>
      <c r="AU8" s="10" t="s">
        <v>34</v>
      </c>
      <c r="AV8" s="10" t="s">
        <v>35</v>
      </c>
      <c r="AW8" s="10" t="s">
        <v>21</v>
      </c>
      <c r="AX8" s="10" t="s">
        <v>22</v>
      </c>
      <c r="AY8" s="10" t="s">
        <v>23</v>
      </c>
      <c r="AZ8" s="10" t="s">
        <v>24</v>
      </c>
      <c r="BA8" s="10" t="s">
        <v>25</v>
      </c>
      <c r="BB8" s="10" t="s">
        <v>26</v>
      </c>
      <c r="BC8" s="10" t="s">
        <v>27</v>
      </c>
      <c r="BD8" s="10" t="s">
        <v>50</v>
      </c>
      <c r="BE8" s="10" t="s">
        <v>48</v>
      </c>
    </row>
    <row r="9" spans="1:57" x14ac:dyDescent="0.25">
      <c r="B9">
        <f t="shared" ref="B9:B70" si="0">SUM(D9:G9)</f>
        <v>0</v>
      </c>
      <c r="C9">
        <f>SUM(I9:J9)</f>
        <v>0</v>
      </c>
      <c r="L9">
        <f t="shared" ref="L9:L69" si="1">SUM(N9:Q9)</f>
        <v>0</v>
      </c>
      <c r="M9">
        <f>SUM(S9:T9)</f>
        <v>0</v>
      </c>
    </row>
    <row r="10" spans="1:57" x14ac:dyDescent="0.25">
      <c r="B10">
        <f t="shared" si="0"/>
        <v>0</v>
      </c>
      <c r="C10">
        <f t="shared" ref="C10:C70" si="2">SUM(I10:J10)</f>
        <v>0</v>
      </c>
      <c r="L10">
        <f t="shared" si="1"/>
        <v>0</v>
      </c>
      <c r="M10">
        <f t="shared" ref="M10:M69" si="3">SUM(S10:T10)</f>
        <v>0</v>
      </c>
    </row>
    <row r="11" spans="1:57" x14ac:dyDescent="0.25">
      <c r="B11">
        <f t="shared" si="0"/>
        <v>0</v>
      </c>
      <c r="C11">
        <f t="shared" si="2"/>
        <v>0</v>
      </c>
      <c r="E11" s="1"/>
      <c r="F11" s="1"/>
      <c r="G11" s="1"/>
      <c r="H11" s="1"/>
      <c r="I11" s="1"/>
      <c r="J11" s="1"/>
      <c r="K11" s="1"/>
      <c r="L11">
        <f t="shared" si="1"/>
        <v>0</v>
      </c>
      <c r="M11">
        <f t="shared" si="3"/>
        <v>0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57" x14ac:dyDescent="0.25">
      <c r="B12">
        <f t="shared" si="0"/>
        <v>0</v>
      </c>
      <c r="C12">
        <f t="shared" si="2"/>
        <v>0</v>
      </c>
      <c r="L12">
        <f t="shared" si="1"/>
        <v>0</v>
      </c>
      <c r="M12">
        <f t="shared" si="3"/>
        <v>0</v>
      </c>
    </row>
    <row r="13" spans="1:57" x14ac:dyDescent="0.25">
      <c r="B13">
        <f t="shared" si="0"/>
        <v>0</v>
      </c>
      <c r="C13">
        <f t="shared" si="2"/>
        <v>0</v>
      </c>
      <c r="L13">
        <f t="shared" si="1"/>
        <v>0</v>
      </c>
      <c r="M13">
        <f t="shared" si="3"/>
        <v>0</v>
      </c>
    </row>
    <row r="14" spans="1:57" x14ac:dyDescent="0.25">
      <c r="B14">
        <f t="shared" si="0"/>
        <v>0</v>
      </c>
      <c r="C14">
        <f t="shared" si="2"/>
        <v>0</v>
      </c>
      <c r="L14">
        <f t="shared" si="1"/>
        <v>0</v>
      </c>
      <c r="M14">
        <f t="shared" si="3"/>
        <v>0</v>
      </c>
    </row>
    <row r="15" spans="1:57" x14ac:dyDescent="0.25">
      <c r="B15">
        <f t="shared" si="0"/>
        <v>0</v>
      </c>
      <c r="C15">
        <f t="shared" si="2"/>
        <v>0</v>
      </c>
      <c r="L15">
        <f t="shared" si="1"/>
        <v>0</v>
      </c>
      <c r="M15">
        <f t="shared" si="3"/>
        <v>0</v>
      </c>
    </row>
    <row r="16" spans="1:57" x14ac:dyDescent="0.25">
      <c r="B16">
        <f t="shared" si="0"/>
        <v>0</v>
      </c>
      <c r="C16">
        <f t="shared" si="2"/>
        <v>0</v>
      </c>
      <c r="L16">
        <f t="shared" si="1"/>
        <v>0</v>
      </c>
      <c r="M16">
        <f t="shared" si="3"/>
        <v>0</v>
      </c>
    </row>
    <row r="17" spans="2:13" x14ac:dyDescent="0.25">
      <c r="B17">
        <f t="shared" si="0"/>
        <v>0</v>
      </c>
      <c r="C17">
        <f t="shared" si="2"/>
        <v>0</v>
      </c>
      <c r="L17">
        <f t="shared" si="1"/>
        <v>0</v>
      </c>
      <c r="M17">
        <f t="shared" si="3"/>
        <v>0</v>
      </c>
    </row>
    <row r="18" spans="2:13" x14ac:dyDescent="0.25">
      <c r="B18">
        <f t="shared" si="0"/>
        <v>0</v>
      </c>
      <c r="C18">
        <f t="shared" si="2"/>
        <v>0</v>
      </c>
      <c r="L18">
        <f t="shared" si="1"/>
        <v>0</v>
      </c>
      <c r="M18">
        <f t="shared" si="3"/>
        <v>0</v>
      </c>
    </row>
    <row r="19" spans="2:13" x14ac:dyDescent="0.25">
      <c r="B19">
        <f t="shared" si="0"/>
        <v>0</v>
      </c>
      <c r="C19">
        <f t="shared" si="2"/>
        <v>0</v>
      </c>
      <c r="L19">
        <f t="shared" si="1"/>
        <v>0</v>
      </c>
      <c r="M19">
        <f t="shared" si="3"/>
        <v>0</v>
      </c>
    </row>
    <row r="20" spans="2:13" x14ac:dyDescent="0.25">
      <c r="B20">
        <f t="shared" si="0"/>
        <v>0</v>
      </c>
      <c r="C20">
        <f t="shared" si="2"/>
        <v>0</v>
      </c>
      <c r="L20">
        <f t="shared" si="1"/>
        <v>0</v>
      </c>
      <c r="M20">
        <f t="shared" si="3"/>
        <v>0</v>
      </c>
    </row>
    <row r="21" spans="2:13" x14ac:dyDescent="0.25">
      <c r="B21">
        <f t="shared" si="0"/>
        <v>0</v>
      </c>
      <c r="C21">
        <f t="shared" si="2"/>
        <v>0</v>
      </c>
      <c r="L21">
        <f t="shared" si="1"/>
        <v>0</v>
      </c>
      <c r="M21">
        <f t="shared" si="3"/>
        <v>0</v>
      </c>
    </row>
    <row r="22" spans="2:13" x14ac:dyDescent="0.25">
      <c r="B22">
        <f t="shared" si="0"/>
        <v>0</v>
      </c>
      <c r="C22">
        <f t="shared" si="2"/>
        <v>0</v>
      </c>
      <c r="L22">
        <f t="shared" si="1"/>
        <v>0</v>
      </c>
      <c r="M22">
        <f t="shared" si="3"/>
        <v>0</v>
      </c>
    </row>
    <row r="23" spans="2:13" x14ac:dyDescent="0.25">
      <c r="B23">
        <f t="shared" si="0"/>
        <v>0</v>
      </c>
      <c r="C23">
        <f t="shared" si="2"/>
        <v>0</v>
      </c>
      <c r="L23">
        <f t="shared" si="1"/>
        <v>0</v>
      </c>
      <c r="M23">
        <f t="shared" si="3"/>
        <v>0</v>
      </c>
    </row>
    <row r="24" spans="2:13" x14ac:dyDescent="0.25">
      <c r="B24">
        <f t="shared" si="0"/>
        <v>0</v>
      </c>
      <c r="C24">
        <f t="shared" si="2"/>
        <v>0</v>
      </c>
      <c r="L24">
        <f t="shared" si="1"/>
        <v>0</v>
      </c>
      <c r="M24">
        <f t="shared" si="3"/>
        <v>0</v>
      </c>
    </row>
    <row r="25" spans="2:13" x14ac:dyDescent="0.25">
      <c r="B25">
        <f t="shared" si="0"/>
        <v>0</v>
      </c>
      <c r="C25">
        <f t="shared" si="2"/>
        <v>0</v>
      </c>
      <c r="L25">
        <f t="shared" si="1"/>
        <v>0</v>
      </c>
      <c r="M25">
        <f t="shared" si="3"/>
        <v>0</v>
      </c>
    </row>
    <row r="26" spans="2:13" x14ac:dyDescent="0.25">
      <c r="B26">
        <f t="shared" si="0"/>
        <v>0</v>
      </c>
      <c r="C26">
        <f t="shared" si="2"/>
        <v>0</v>
      </c>
      <c r="L26">
        <f t="shared" si="1"/>
        <v>0</v>
      </c>
      <c r="M26">
        <f t="shared" si="3"/>
        <v>0</v>
      </c>
    </row>
    <row r="27" spans="2:13" x14ac:dyDescent="0.25">
      <c r="B27">
        <f t="shared" si="0"/>
        <v>0</v>
      </c>
      <c r="C27">
        <f t="shared" si="2"/>
        <v>0</v>
      </c>
      <c r="L27">
        <f t="shared" si="1"/>
        <v>0</v>
      </c>
      <c r="M27">
        <f t="shared" si="3"/>
        <v>0</v>
      </c>
    </row>
    <row r="28" spans="2:13" x14ac:dyDescent="0.25">
      <c r="B28">
        <f t="shared" si="0"/>
        <v>0</v>
      </c>
      <c r="C28">
        <f t="shared" si="2"/>
        <v>0</v>
      </c>
      <c r="L28">
        <f t="shared" si="1"/>
        <v>0</v>
      </c>
      <c r="M28">
        <f t="shared" si="3"/>
        <v>0</v>
      </c>
    </row>
    <row r="29" spans="2:13" x14ac:dyDescent="0.25">
      <c r="B29">
        <f t="shared" si="0"/>
        <v>0</v>
      </c>
      <c r="C29">
        <f t="shared" si="2"/>
        <v>0</v>
      </c>
      <c r="L29">
        <f t="shared" si="1"/>
        <v>0</v>
      </c>
      <c r="M29">
        <f t="shared" si="3"/>
        <v>0</v>
      </c>
    </row>
    <row r="30" spans="2:13" x14ac:dyDescent="0.25">
      <c r="B30">
        <f t="shared" si="0"/>
        <v>0</v>
      </c>
      <c r="C30">
        <f t="shared" si="2"/>
        <v>0</v>
      </c>
      <c r="L30">
        <f t="shared" si="1"/>
        <v>0</v>
      </c>
      <c r="M30">
        <f t="shared" si="3"/>
        <v>0</v>
      </c>
    </row>
    <row r="31" spans="2:13" x14ac:dyDescent="0.25">
      <c r="B31">
        <f t="shared" si="0"/>
        <v>0</v>
      </c>
      <c r="C31">
        <f t="shared" si="2"/>
        <v>0</v>
      </c>
      <c r="L31">
        <f t="shared" si="1"/>
        <v>0</v>
      </c>
      <c r="M31">
        <f t="shared" si="3"/>
        <v>0</v>
      </c>
    </row>
    <row r="32" spans="2:13" x14ac:dyDescent="0.25">
      <c r="B32">
        <f t="shared" si="0"/>
        <v>0</v>
      </c>
      <c r="C32">
        <f t="shared" si="2"/>
        <v>0</v>
      </c>
      <c r="L32">
        <f t="shared" si="1"/>
        <v>0</v>
      </c>
      <c r="M32">
        <f t="shared" si="3"/>
        <v>0</v>
      </c>
    </row>
    <row r="33" spans="2:13" x14ac:dyDescent="0.25">
      <c r="B33">
        <f t="shared" si="0"/>
        <v>0</v>
      </c>
      <c r="C33">
        <f t="shared" si="2"/>
        <v>0</v>
      </c>
      <c r="L33">
        <f t="shared" si="1"/>
        <v>0</v>
      </c>
      <c r="M33">
        <f t="shared" si="3"/>
        <v>0</v>
      </c>
    </row>
    <row r="34" spans="2:13" x14ac:dyDescent="0.25">
      <c r="B34">
        <f t="shared" si="0"/>
        <v>0</v>
      </c>
      <c r="C34">
        <f t="shared" si="2"/>
        <v>0</v>
      </c>
      <c r="L34">
        <f t="shared" si="1"/>
        <v>0</v>
      </c>
      <c r="M34">
        <f t="shared" si="3"/>
        <v>0</v>
      </c>
    </row>
    <row r="35" spans="2:13" x14ac:dyDescent="0.25">
      <c r="B35">
        <f t="shared" si="0"/>
        <v>0</v>
      </c>
      <c r="C35">
        <f t="shared" si="2"/>
        <v>0</v>
      </c>
      <c r="L35">
        <f t="shared" si="1"/>
        <v>0</v>
      </c>
      <c r="M35">
        <f t="shared" si="3"/>
        <v>0</v>
      </c>
    </row>
    <row r="36" spans="2:13" x14ac:dyDescent="0.25">
      <c r="B36">
        <f t="shared" si="0"/>
        <v>0</v>
      </c>
      <c r="C36">
        <f t="shared" si="2"/>
        <v>0</v>
      </c>
      <c r="L36">
        <f t="shared" si="1"/>
        <v>0</v>
      </c>
      <c r="M36">
        <f t="shared" si="3"/>
        <v>0</v>
      </c>
    </row>
    <row r="37" spans="2:13" x14ac:dyDescent="0.25">
      <c r="B37">
        <f t="shared" si="0"/>
        <v>0</v>
      </c>
      <c r="C37">
        <f t="shared" si="2"/>
        <v>0</v>
      </c>
      <c r="L37">
        <f t="shared" si="1"/>
        <v>0</v>
      </c>
      <c r="M37">
        <f t="shared" si="3"/>
        <v>0</v>
      </c>
    </row>
    <row r="38" spans="2:13" x14ac:dyDescent="0.25">
      <c r="B38">
        <f t="shared" si="0"/>
        <v>0</v>
      </c>
      <c r="C38">
        <f t="shared" si="2"/>
        <v>0</v>
      </c>
      <c r="L38">
        <f t="shared" si="1"/>
        <v>0</v>
      </c>
      <c r="M38">
        <f t="shared" si="3"/>
        <v>0</v>
      </c>
    </row>
    <row r="39" spans="2:13" x14ac:dyDescent="0.25">
      <c r="B39">
        <f t="shared" si="0"/>
        <v>0</v>
      </c>
      <c r="C39">
        <f t="shared" si="2"/>
        <v>0</v>
      </c>
      <c r="L39">
        <f t="shared" si="1"/>
        <v>0</v>
      </c>
      <c r="M39">
        <f t="shared" si="3"/>
        <v>0</v>
      </c>
    </row>
    <row r="40" spans="2:13" x14ac:dyDescent="0.25">
      <c r="B40">
        <f t="shared" si="0"/>
        <v>0</v>
      </c>
      <c r="C40">
        <f t="shared" si="2"/>
        <v>0</v>
      </c>
      <c r="L40">
        <f t="shared" si="1"/>
        <v>0</v>
      </c>
      <c r="M40">
        <f t="shared" si="3"/>
        <v>0</v>
      </c>
    </row>
    <row r="41" spans="2:13" x14ac:dyDescent="0.25">
      <c r="B41">
        <f t="shared" si="0"/>
        <v>0</v>
      </c>
      <c r="C41">
        <f t="shared" si="2"/>
        <v>0</v>
      </c>
      <c r="L41">
        <f t="shared" si="1"/>
        <v>0</v>
      </c>
      <c r="M41">
        <f t="shared" si="3"/>
        <v>0</v>
      </c>
    </row>
    <row r="42" spans="2:13" x14ac:dyDescent="0.25">
      <c r="B42">
        <f t="shared" si="0"/>
        <v>0</v>
      </c>
      <c r="C42">
        <f t="shared" si="2"/>
        <v>0</v>
      </c>
      <c r="L42">
        <f t="shared" si="1"/>
        <v>0</v>
      </c>
      <c r="M42">
        <f t="shared" si="3"/>
        <v>0</v>
      </c>
    </row>
    <row r="43" spans="2:13" x14ac:dyDescent="0.25">
      <c r="B43">
        <f t="shared" si="0"/>
        <v>0</v>
      </c>
      <c r="C43">
        <f t="shared" si="2"/>
        <v>0</v>
      </c>
      <c r="L43">
        <f t="shared" si="1"/>
        <v>0</v>
      </c>
      <c r="M43">
        <f t="shared" si="3"/>
        <v>0</v>
      </c>
    </row>
    <row r="44" spans="2:13" x14ac:dyDescent="0.25">
      <c r="B44">
        <f t="shared" si="0"/>
        <v>0</v>
      </c>
      <c r="C44">
        <f t="shared" si="2"/>
        <v>0</v>
      </c>
      <c r="L44">
        <f t="shared" si="1"/>
        <v>0</v>
      </c>
      <c r="M44">
        <f t="shared" si="3"/>
        <v>0</v>
      </c>
    </row>
    <row r="45" spans="2:13" x14ac:dyDescent="0.25">
      <c r="B45">
        <f t="shared" si="0"/>
        <v>0</v>
      </c>
      <c r="C45">
        <f t="shared" si="2"/>
        <v>0</v>
      </c>
      <c r="L45">
        <f t="shared" si="1"/>
        <v>0</v>
      </c>
      <c r="M45">
        <f t="shared" si="3"/>
        <v>0</v>
      </c>
    </row>
    <row r="46" spans="2:13" x14ac:dyDescent="0.25">
      <c r="B46">
        <f t="shared" si="0"/>
        <v>0</v>
      </c>
      <c r="C46">
        <f t="shared" si="2"/>
        <v>0</v>
      </c>
      <c r="L46">
        <f t="shared" si="1"/>
        <v>0</v>
      </c>
      <c r="M46">
        <f t="shared" si="3"/>
        <v>0</v>
      </c>
    </row>
    <row r="47" spans="2:13" x14ac:dyDescent="0.25">
      <c r="B47">
        <f t="shared" si="0"/>
        <v>0</v>
      </c>
      <c r="C47">
        <f t="shared" si="2"/>
        <v>0</v>
      </c>
      <c r="L47">
        <f t="shared" si="1"/>
        <v>0</v>
      </c>
      <c r="M47">
        <f t="shared" si="3"/>
        <v>0</v>
      </c>
    </row>
    <row r="48" spans="2:13" x14ac:dyDescent="0.25">
      <c r="B48">
        <f t="shared" si="0"/>
        <v>0</v>
      </c>
      <c r="C48">
        <f t="shared" si="2"/>
        <v>0</v>
      </c>
      <c r="L48">
        <f t="shared" si="1"/>
        <v>0</v>
      </c>
      <c r="M48">
        <f t="shared" si="3"/>
        <v>0</v>
      </c>
    </row>
    <row r="49" spans="2:13" x14ac:dyDescent="0.25">
      <c r="B49">
        <f t="shared" si="0"/>
        <v>0</v>
      </c>
      <c r="C49">
        <f t="shared" si="2"/>
        <v>0</v>
      </c>
      <c r="L49">
        <f t="shared" si="1"/>
        <v>0</v>
      </c>
      <c r="M49">
        <f t="shared" si="3"/>
        <v>0</v>
      </c>
    </row>
    <row r="50" spans="2:13" x14ac:dyDescent="0.25">
      <c r="B50">
        <f t="shared" si="0"/>
        <v>0</v>
      </c>
      <c r="C50">
        <f t="shared" si="2"/>
        <v>0</v>
      </c>
      <c r="L50">
        <f t="shared" si="1"/>
        <v>0</v>
      </c>
      <c r="M50">
        <f t="shared" si="3"/>
        <v>0</v>
      </c>
    </row>
    <row r="51" spans="2:13" x14ac:dyDescent="0.25">
      <c r="B51">
        <f t="shared" si="0"/>
        <v>0</v>
      </c>
      <c r="C51">
        <f t="shared" si="2"/>
        <v>0</v>
      </c>
      <c r="L51">
        <f t="shared" si="1"/>
        <v>0</v>
      </c>
      <c r="M51">
        <f t="shared" si="3"/>
        <v>0</v>
      </c>
    </row>
    <row r="52" spans="2:13" x14ac:dyDescent="0.25">
      <c r="B52">
        <f t="shared" si="0"/>
        <v>0</v>
      </c>
      <c r="C52">
        <f t="shared" si="2"/>
        <v>0</v>
      </c>
      <c r="L52">
        <f t="shared" si="1"/>
        <v>0</v>
      </c>
      <c r="M52">
        <f t="shared" si="3"/>
        <v>0</v>
      </c>
    </row>
    <row r="53" spans="2:13" x14ac:dyDescent="0.25">
      <c r="B53">
        <f t="shared" si="0"/>
        <v>0</v>
      </c>
      <c r="C53">
        <f t="shared" si="2"/>
        <v>0</v>
      </c>
      <c r="L53">
        <f t="shared" si="1"/>
        <v>0</v>
      </c>
      <c r="M53">
        <f t="shared" si="3"/>
        <v>0</v>
      </c>
    </row>
    <row r="54" spans="2:13" x14ac:dyDescent="0.25">
      <c r="B54">
        <f t="shared" si="0"/>
        <v>0</v>
      </c>
      <c r="C54">
        <f t="shared" si="2"/>
        <v>0</v>
      </c>
      <c r="L54">
        <f t="shared" si="1"/>
        <v>0</v>
      </c>
      <c r="M54">
        <f t="shared" si="3"/>
        <v>0</v>
      </c>
    </row>
    <row r="55" spans="2:13" x14ac:dyDescent="0.25">
      <c r="B55">
        <f t="shared" si="0"/>
        <v>0</v>
      </c>
      <c r="C55">
        <f t="shared" si="2"/>
        <v>0</v>
      </c>
      <c r="L55">
        <f t="shared" si="1"/>
        <v>0</v>
      </c>
      <c r="M55">
        <f t="shared" si="3"/>
        <v>0</v>
      </c>
    </row>
    <row r="56" spans="2:13" x14ac:dyDescent="0.25">
      <c r="B56">
        <f t="shared" si="0"/>
        <v>0</v>
      </c>
      <c r="C56">
        <f t="shared" si="2"/>
        <v>0</v>
      </c>
      <c r="L56">
        <f t="shared" si="1"/>
        <v>0</v>
      </c>
      <c r="M56">
        <f t="shared" si="3"/>
        <v>0</v>
      </c>
    </row>
    <row r="57" spans="2:13" x14ac:dyDescent="0.25">
      <c r="B57">
        <f t="shared" si="0"/>
        <v>0</v>
      </c>
      <c r="C57">
        <f t="shared" si="2"/>
        <v>0</v>
      </c>
      <c r="L57">
        <f t="shared" si="1"/>
        <v>0</v>
      </c>
      <c r="M57">
        <f t="shared" si="3"/>
        <v>0</v>
      </c>
    </row>
    <row r="58" spans="2:13" x14ac:dyDescent="0.25">
      <c r="B58">
        <f t="shared" si="0"/>
        <v>0</v>
      </c>
      <c r="C58">
        <f t="shared" si="2"/>
        <v>0</v>
      </c>
      <c r="L58">
        <f t="shared" si="1"/>
        <v>0</v>
      </c>
      <c r="M58">
        <f t="shared" si="3"/>
        <v>0</v>
      </c>
    </row>
    <row r="59" spans="2:13" x14ac:dyDescent="0.25">
      <c r="B59">
        <f t="shared" si="0"/>
        <v>0</v>
      </c>
      <c r="C59">
        <f t="shared" si="2"/>
        <v>0</v>
      </c>
      <c r="L59">
        <f t="shared" si="1"/>
        <v>0</v>
      </c>
      <c r="M59">
        <f t="shared" si="3"/>
        <v>0</v>
      </c>
    </row>
    <row r="60" spans="2:13" x14ac:dyDescent="0.25">
      <c r="B60">
        <f t="shared" si="0"/>
        <v>0</v>
      </c>
      <c r="C60">
        <f t="shared" si="2"/>
        <v>0</v>
      </c>
      <c r="L60">
        <f t="shared" si="1"/>
        <v>0</v>
      </c>
      <c r="M60">
        <f t="shared" si="3"/>
        <v>0</v>
      </c>
    </row>
    <row r="61" spans="2:13" x14ac:dyDescent="0.25">
      <c r="B61">
        <f t="shared" si="0"/>
        <v>0</v>
      </c>
      <c r="C61">
        <f t="shared" si="2"/>
        <v>0</v>
      </c>
      <c r="L61">
        <f t="shared" si="1"/>
        <v>0</v>
      </c>
      <c r="M61">
        <f t="shared" si="3"/>
        <v>0</v>
      </c>
    </row>
    <row r="62" spans="2:13" x14ac:dyDescent="0.25">
      <c r="B62">
        <f t="shared" si="0"/>
        <v>0</v>
      </c>
      <c r="C62">
        <f t="shared" si="2"/>
        <v>0</v>
      </c>
      <c r="L62">
        <f t="shared" si="1"/>
        <v>0</v>
      </c>
      <c r="M62">
        <f t="shared" si="3"/>
        <v>0</v>
      </c>
    </row>
    <row r="63" spans="2:13" x14ac:dyDescent="0.25">
      <c r="B63">
        <f t="shared" si="0"/>
        <v>0</v>
      </c>
      <c r="C63">
        <f t="shared" si="2"/>
        <v>0</v>
      </c>
      <c r="L63">
        <f t="shared" si="1"/>
        <v>0</v>
      </c>
      <c r="M63">
        <f t="shared" si="3"/>
        <v>0</v>
      </c>
    </row>
    <row r="64" spans="2:13" x14ac:dyDescent="0.25">
      <c r="B64">
        <f t="shared" si="0"/>
        <v>0</v>
      </c>
      <c r="C64">
        <f t="shared" si="2"/>
        <v>0</v>
      </c>
      <c r="L64">
        <f t="shared" si="1"/>
        <v>0</v>
      </c>
      <c r="M64">
        <f t="shared" si="3"/>
        <v>0</v>
      </c>
    </row>
    <row r="65" spans="2:13" x14ac:dyDescent="0.25">
      <c r="B65">
        <f t="shared" si="0"/>
        <v>0</v>
      </c>
      <c r="C65">
        <f t="shared" si="2"/>
        <v>0</v>
      </c>
      <c r="L65">
        <f t="shared" si="1"/>
        <v>0</v>
      </c>
      <c r="M65">
        <f t="shared" si="3"/>
        <v>0</v>
      </c>
    </row>
    <row r="66" spans="2:13" x14ac:dyDescent="0.25">
      <c r="B66">
        <f t="shared" si="0"/>
        <v>0</v>
      </c>
      <c r="C66">
        <f t="shared" si="2"/>
        <v>0</v>
      </c>
      <c r="L66">
        <f t="shared" si="1"/>
        <v>0</v>
      </c>
      <c r="M66">
        <f t="shared" si="3"/>
        <v>0</v>
      </c>
    </row>
    <row r="67" spans="2:13" x14ac:dyDescent="0.25">
      <c r="B67">
        <f t="shared" si="0"/>
        <v>0</v>
      </c>
      <c r="C67">
        <f t="shared" si="2"/>
        <v>0</v>
      </c>
      <c r="L67">
        <f t="shared" si="1"/>
        <v>0</v>
      </c>
      <c r="M67">
        <f t="shared" si="3"/>
        <v>0</v>
      </c>
    </row>
    <row r="68" spans="2:13" x14ac:dyDescent="0.25">
      <c r="B68">
        <f t="shared" si="0"/>
        <v>0</v>
      </c>
      <c r="C68">
        <f t="shared" si="2"/>
        <v>0</v>
      </c>
      <c r="L68">
        <f t="shared" si="1"/>
        <v>0</v>
      </c>
      <c r="M68">
        <f t="shared" si="3"/>
        <v>0</v>
      </c>
    </row>
    <row r="69" spans="2:13" x14ac:dyDescent="0.25">
      <c r="B69">
        <f t="shared" si="0"/>
        <v>0</v>
      </c>
      <c r="C69">
        <f t="shared" si="2"/>
        <v>0</v>
      </c>
      <c r="L69">
        <f t="shared" si="1"/>
        <v>0</v>
      </c>
      <c r="M69">
        <f t="shared" si="3"/>
        <v>0</v>
      </c>
    </row>
    <row r="70" spans="2:13" x14ac:dyDescent="0.25">
      <c r="B70">
        <f t="shared" si="0"/>
        <v>0</v>
      </c>
      <c r="C70">
        <f t="shared" si="2"/>
        <v>0</v>
      </c>
    </row>
  </sheetData>
  <mergeCells count="11">
    <mergeCell ref="Z6:AN6"/>
    <mergeCell ref="Z7:AG7"/>
    <mergeCell ref="AH7:AN7"/>
    <mergeCell ref="AO6:BC6"/>
    <mergeCell ref="AO7:AV7"/>
    <mergeCell ref="AW7:BC7"/>
    <mergeCell ref="A1:G2"/>
    <mergeCell ref="U7:Y7"/>
    <mergeCell ref="B7:K7"/>
    <mergeCell ref="B6:Y6"/>
    <mergeCell ref="L7:T7"/>
  </mergeCells>
  <pageMargins left="0.75" right="0.75" top="1" bottom="1" header="0.5" footer="0.5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165A8-6BEB-460C-A741-C3CB92BFD262}">
  <dimension ref="A1"/>
  <sheetViews>
    <sheetView tabSelected="1" workbookViewId="0">
      <selection activeCell="K32" sqref="K3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0"/>
  <sheetViews>
    <sheetView workbookViewId="0">
      <selection activeCell="G38" sqref="G38"/>
    </sheetView>
  </sheetViews>
  <sheetFormatPr defaultRowHeight="15" x14ac:dyDescent="0.25"/>
  <cols>
    <col min="2" max="2" width="20.140625" bestFit="1" customWidth="1"/>
  </cols>
  <sheetData>
    <row r="1" spans="1:2" x14ac:dyDescent="0.25">
      <c r="A1">
        <v>1</v>
      </c>
      <c r="B1" t="s">
        <v>55</v>
      </c>
    </row>
    <row r="2" spans="1:2" x14ac:dyDescent="0.25">
      <c r="A2">
        <v>27</v>
      </c>
      <c r="B2" t="s">
        <v>56</v>
      </c>
    </row>
    <row r="3" spans="1:2" x14ac:dyDescent="0.25">
      <c r="A3">
        <v>70</v>
      </c>
      <c r="B3" t="s">
        <v>57</v>
      </c>
    </row>
    <row r="4" spans="1:2" x14ac:dyDescent="0.25">
      <c r="A4">
        <v>245</v>
      </c>
      <c r="B4" t="s">
        <v>58</v>
      </c>
    </row>
    <row r="5" spans="1:2" x14ac:dyDescent="0.25">
      <c r="A5">
        <v>494</v>
      </c>
      <c r="B5" t="s">
        <v>59</v>
      </c>
    </row>
    <row r="6" spans="1:2" x14ac:dyDescent="0.25">
      <c r="A6">
        <v>573</v>
      </c>
      <c r="B6" t="s">
        <v>9</v>
      </c>
    </row>
    <row r="7" spans="1:2" x14ac:dyDescent="0.25">
      <c r="A7">
        <v>894</v>
      </c>
      <c r="B7" t="s">
        <v>60</v>
      </c>
    </row>
    <row r="8" spans="1:2" x14ac:dyDescent="0.25">
      <c r="A8">
        <v>910</v>
      </c>
      <c r="B8" t="s">
        <v>61</v>
      </c>
    </row>
    <row r="9" spans="1:2" x14ac:dyDescent="0.25">
      <c r="A9">
        <v>1498</v>
      </c>
      <c r="B9" t="s">
        <v>62</v>
      </c>
    </row>
    <row r="10" spans="1:2" x14ac:dyDescent="0.25">
      <c r="A10">
        <v>1504</v>
      </c>
      <c r="B10" t="s">
        <v>63</v>
      </c>
    </row>
    <row r="11" spans="1:2" x14ac:dyDescent="0.25">
      <c r="A11">
        <v>2137</v>
      </c>
      <c r="B11" t="s">
        <v>64</v>
      </c>
    </row>
    <row r="12" spans="1:2" x14ac:dyDescent="0.25">
      <c r="A12">
        <v>2145</v>
      </c>
      <c r="B12" t="s">
        <v>65</v>
      </c>
    </row>
    <row r="13" spans="1:2" x14ac:dyDescent="0.25">
      <c r="A13">
        <v>3534</v>
      </c>
      <c r="B13" t="s">
        <v>66</v>
      </c>
    </row>
    <row r="14" spans="1:2" x14ac:dyDescent="0.25">
      <c r="A14">
        <v>4994</v>
      </c>
      <c r="B14" t="s">
        <v>67</v>
      </c>
    </row>
    <row r="15" spans="1:2" x14ac:dyDescent="0.25">
      <c r="A15">
        <v>4998</v>
      </c>
      <c r="B15" t="s">
        <v>68</v>
      </c>
    </row>
    <row r="16" spans="1:2" x14ac:dyDescent="0.25">
      <c r="A16">
        <v>5084</v>
      </c>
      <c r="B16" t="s">
        <v>69</v>
      </c>
    </row>
    <row r="17" spans="1:2" x14ac:dyDescent="0.25">
      <c r="A17">
        <v>5150</v>
      </c>
      <c r="B17" t="s">
        <v>70</v>
      </c>
    </row>
    <row r="18" spans="1:2" x14ac:dyDescent="0.25">
      <c r="A18">
        <v>5234</v>
      </c>
      <c r="B18" t="s">
        <v>71</v>
      </c>
    </row>
    <row r="19" spans="1:2" x14ac:dyDescent="0.25">
      <c r="A19">
        <v>5235</v>
      </c>
      <c r="B19" t="s">
        <v>72</v>
      </c>
    </row>
    <row r="20" spans="1:2" x14ac:dyDescent="0.25">
      <c r="A20">
        <v>5260</v>
      </c>
      <c r="B20" t="s">
        <v>73</v>
      </c>
    </row>
    <row r="21" spans="1:2" x14ac:dyDescent="0.25">
      <c r="A21">
        <v>5282</v>
      </c>
      <c r="B21" t="s">
        <v>74</v>
      </c>
    </row>
    <row r="22" spans="1:2" x14ac:dyDescent="0.25">
      <c r="A22">
        <v>5460</v>
      </c>
      <c r="B22" t="s">
        <v>75</v>
      </c>
    </row>
    <row r="23" spans="1:2" x14ac:dyDescent="0.25">
      <c r="A23">
        <v>5641</v>
      </c>
      <c r="B23" t="s">
        <v>76</v>
      </c>
    </row>
    <row r="24" spans="1:2" x14ac:dyDescent="0.25">
      <c r="A24">
        <v>5697</v>
      </c>
      <c r="B24" t="s">
        <v>77</v>
      </c>
    </row>
    <row r="25" spans="1:2" x14ac:dyDescent="0.25">
      <c r="A25">
        <v>6067</v>
      </c>
      <c r="B25" t="s">
        <v>78</v>
      </c>
    </row>
    <row r="26" spans="1:2" x14ac:dyDescent="0.25">
      <c r="A26">
        <v>6631</v>
      </c>
      <c r="B26" t="s">
        <v>79</v>
      </c>
    </row>
    <row r="27" spans="1:2" x14ac:dyDescent="0.25">
      <c r="A27">
        <v>7195</v>
      </c>
      <c r="B27" t="s">
        <v>80</v>
      </c>
    </row>
    <row r="28" spans="1:2" x14ac:dyDescent="0.25">
      <c r="A28">
        <v>7491</v>
      </c>
      <c r="B28" t="s">
        <v>81</v>
      </c>
    </row>
    <row r="29" spans="1:2" x14ac:dyDescent="0.25">
      <c r="A29">
        <v>7784</v>
      </c>
      <c r="B29" t="s">
        <v>82</v>
      </c>
    </row>
    <row r="30" spans="1:2" x14ac:dyDescent="0.25">
      <c r="A30">
        <v>8193</v>
      </c>
      <c r="B30" t="s">
        <v>83</v>
      </c>
    </row>
    <row r="31" spans="1:2" x14ac:dyDescent="0.25">
      <c r="A31">
        <v>8385</v>
      </c>
      <c r="B31" t="s">
        <v>84</v>
      </c>
    </row>
    <row r="32" spans="1:2" x14ac:dyDescent="0.25">
      <c r="A32">
        <v>9207</v>
      </c>
      <c r="B32" t="s">
        <v>85</v>
      </c>
    </row>
    <row r="33" spans="1:2" x14ac:dyDescent="0.25">
      <c r="A33">
        <v>9245</v>
      </c>
      <c r="B33" t="s">
        <v>86</v>
      </c>
    </row>
    <row r="34" spans="1:2" x14ac:dyDescent="0.25">
      <c r="A34">
        <v>9648</v>
      </c>
      <c r="B34" t="s">
        <v>87</v>
      </c>
    </row>
    <row r="35" spans="1:2" x14ac:dyDescent="0.25">
      <c r="A35">
        <v>9697</v>
      </c>
      <c r="B35" t="s">
        <v>88</v>
      </c>
    </row>
    <row r="36" spans="1:2" x14ac:dyDescent="0.25">
      <c r="A36">
        <v>9757</v>
      </c>
      <c r="B36" t="s">
        <v>89</v>
      </c>
    </row>
    <row r="37" spans="1:2" x14ac:dyDescent="0.25">
      <c r="A37">
        <v>9776</v>
      </c>
      <c r="B37" t="s">
        <v>90</v>
      </c>
    </row>
    <row r="38" spans="1:2" x14ac:dyDescent="0.25">
      <c r="A38">
        <v>10659</v>
      </c>
      <c r="B38" t="s">
        <v>91</v>
      </c>
    </row>
    <row r="39" spans="1:2" x14ac:dyDescent="0.25">
      <c r="A39">
        <v>10667</v>
      </c>
      <c r="B39" t="s">
        <v>92</v>
      </c>
    </row>
    <row r="40" spans="1:2" x14ac:dyDescent="0.25">
      <c r="A40">
        <v>10668</v>
      </c>
      <c r="B40" t="s">
        <v>93</v>
      </c>
    </row>
  </sheetData>
  <pageMargins left="0.7" right="0.7" top="0.75" bottom="0.75" header="0.3" footer="0.3"/>
  <pageSetup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"/>
  <sheetViews>
    <sheetView topLeftCell="H11" zoomScale="106" zoomScaleNormal="106" workbookViewId="0">
      <selection activeCell="S25" sqref="S25"/>
    </sheetView>
  </sheetViews>
  <sheetFormatPr defaultRowHeight="15" x14ac:dyDescent="0.25"/>
  <cols>
    <col min="1" max="1" width="40.42578125" customWidth="1"/>
    <col min="2" max="2" width="13.5703125" bestFit="1" customWidth="1"/>
    <col min="3" max="3" width="14" customWidth="1"/>
    <col min="4" max="5" width="13.28515625" bestFit="1" customWidth="1"/>
    <col min="6" max="7" width="14.5703125" customWidth="1"/>
    <col min="8" max="8" width="15.5703125" bestFit="1" customWidth="1"/>
    <col min="9" max="9" width="15.85546875" bestFit="1" customWidth="1"/>
    <col min="10" max="10" width="14.5703125" customWidth="1"/>
    <col min="11" max="12" width="18.5703125" customWidth="1"/>
    <col min="13" max="13" width="8.5703125" customWidth="1"/>
    <col min="14" max="14" width="9.7109375" bestFit="1" customWidth="1"/>
    <col min="15" max="15" width="15.42578125" customWidth="1"/>
    <col min="16" max="16" width="9.7109375" bestFit="1" customWidth="1"/>
    <col min="17" max="17" width="14.140625" bestFit="1" customWidth="1"/>
    <col min="18" max="18" width="14.5703125" bestFit="1" customWidth="1"/>
    <col min="19" max="19" width="14.7109375" customWidth="1"/>
    <col min="20" max="20" width="9.28515625" bestFit="1" customWidth="1"/>
    <col min="21" max="21" width="16.7109375" bestFit="1" customWidth="1"/>
    <col min="22" max="22" width="14" bestFit="1" customWidth="1"/>
    <col min="23" max="23" width="14.140625" bestFit="1" customWidth="1"/>
    <col min="24" max="24" width="11.28515625" bestFit="1" customWidth="1"/>
    <col min="25" max="25" width="7.7109375" bestFit="1" customWidth="1"/>
    <col min="26" max="26" width="23.5703125" customWidth="1"/>
    <col min="27" max="27" width="35.140625" bestFit="1" customWidth="1"/>
    <col min="32" max="32" width="5.5703125" bestFit="1" customWidth="1"/>
  </cols>
  <sheetData>
    <row r="1" spans="1:26" x14ac:dyDescent="0.25">
      <c r="A1" s="14" t="s">
        <v>0</v>
      </c>
      <c r="B1" s="10"/>
    </row>
    <row r="2" spans="1:26" x14ac:dyDescent="0.25">
      <c r="A2" s="7" t="s">
        <v>1</v>
      </c>
      <c r="B2" s="10"/>
    </row>
    <row r="3" spans="1:26" x14ac:dyDescent="0.25">
      <c r="B3" s="1"/>
    </row>
    <row r="4" spans="1:26" x14ac:dyDescent="0.25">
      <c r="A4" s="2" t="s">
        <v>5</v>
      </c>
      <c r="B4" s="2"/>
    </row>
    <row r="5" spans="1:26" x14ac:dyDescent="0.25">
      <c r="A5" t="s">
        <v>19</v>
      </c>
      <c r="B5" s="11"/>
    </row>
    <row r="6" spans="1:26" x14ac:dyDescent="0.25">
      <c r="A6" t="s">
        <v>43</v>
      </c>
      <c r="B6" s="11"/>
    </row>
    <row r="7" spans="1:26" x14ac:dyDescent="0.25">
      <c r="A7" t="s">
        <v>44</v>
      </c>
      <c r="B7" s="11"/>
    </row>
    <row r="8" spans="1:26" x14ac:dyDescent="0.25">
      <c r="A8" t="s">
        <v>45</v>
      </c>
      <c r="B8" s="11"/>
    </row>
    <row r="9" spans="1:26" x14ac:dyDescent="0.25">
      <c r="A9" t="s">
        <v>46</v>
      </c>
      <c r="B9" s="11"/>
    </row>
    <row r="10" spans="1:26" x14ac:dyDescent="0.25">
      <c r="A10" t="s">
        <v>47</v>
      </c>
      <c r="B10" s="11"/>
    </row>
    <row r="11" spans="1:26" x14ac:dyDescent="0.25">
      <c r="A11" t="s">
        <v>18</v>
      </c>
      <c r="B11" s="11"/>
    </row>
    <row r="12" spans="1:26" x14ac:dyDescent="0.25">
      <c r="A12" t="s">
        <v>15</v>
      </c>
      <c r="B12" s="11"/>
    </row>
    <row r="14" spans="1:26" x14ac:dyDescent="0.25">
      <c r="A14" s="2" t="s">
        <v>8</v>
      </c>
    </row>
    <row r="15" spans="1:26" x14ac:dyDescent="0.25">
      <c r="A15" s="1"/>
      <c r="B15" s="1"/>
      <c r="C15" s="1"/>
      <c r="D15" s="35" t="s">
        <v>14</v>
      </c>
      <c r="E15" s="36"/>
      <c r="F15" s="36"/>
      <c r="G15" s="36"/>
      <c r="H15" s="36"/>
      <c r="I15" s="36"/>
      <c r="J15" s="36"/>
      <c r="K15" s="37"/>
      <c r="L15" s="38" t="s">
        <v>4</v>
      </c>
      <c r="M15" s="38"/>
      <c r="N15" s="38"/>
      <c r="O15" s="38"/>
      <c r="P15" s="38"/>
      <c r="Q15" s="38"/>
      <c r="R15" s="38"/>
      <c r="S15" s="38"/>
      <c r="T15" s="21"/>
      <c r="U15" s="38" t="s">
        <v>37</v>
      </c>
      <c r="V15" s="38"/>
      <c r="W15" s="38"/>
      <c r="X15" s="38"/>
      <c r="Y15" s="38"/>
    </row>
    <row r="16" spans="1:26" x14ac:dyDescent="0.25">
      <c r="A16" s="16" t="s">
        <v>2</v>
      </c>
      <c r="B16" s="17" t="s">
        <v>16</v>
      </c>
      <c r="C16" s="17" t="s">
        <v>3</v>
      </c>
      <c r="D16" s="17" t="s">
        <v>28</v>
      </c>
      <c r="E16" s="17" t="s">
        <v>29</v>
      </c>
      <c r="F16" s="17" t="s">
        <v>30</v>
      </c>
      <c r="G16" s="17" t="s">
        <v>31</v>
      </c>
      <c r="H16" s="17" t="s">
        <v>32</v>
      </c>
      <c r="I16" s="17" t="s">
        <v>33</v>
      </c>
      <c r="J16" s="17" t="s">
        <v>34</v>
      </c>
      <c r="K16" s="17" t="s">
        <v>35</v>
      </c>
      <c r="L16" s="17" t="s">
        <v>21</v>
      </c>
      <c r="M16" s="17" t="s">
        <v>22</v>
      </c>
      <c r="N16" s="17" t="s">
        <v>23</v>
      </c>
      <c r="O16" s="17" t="s">
        <v>24</v>
      </c>
      <c r="P16" s="17" t="s">
        <v>25</v>
      </c>
      <c r="Q16" s="17" t="s">
        <v>26</v>
      </c>
      <c r="R16" s="17" t="s">
        <v>27</v>
      </c>
      <c r="S16" s="17" t="s">
        <v>36</v>
      </c>
      <c r="T16" s="17" t="s">
        <v>49</v>
      </c>
      <c r="U16" s="17" t="s">
        <v>38</v>
      </c>
      <c r="V16" s="17" t="s">
        <v>39</v>
      </c>
      <c r="W16" s="17" t="s">
        <v>40</v>
      </c>
      <c r="X16" s="17" t="s">
        <v>41</v>
      </c>
      <c r="Y16" s="17" t="s">
        <v>42</v>
      </c>
      <c r="Z16" s="17" t="s">
        <v>15</v>
      </c>
    </row>
    <row r="17" spans="1:26" x14ac:dyDescent="0.25">
      <c r="A17" s="12" t="s">
        <v>17</v>
      </c>
      <c r="B17" s="5"/>
      <c r="C17" s="5"/>
      <c r="D17" s="3" t="e">
        <f>AVERAGE(D21:D220)</f>
        <v>#DIV/0!</v>
      </c>
      <c r="E17" s="3" t="e">
        <f t="shared" ref="E17:O17" si="0">AVERAGE(E21:E220)</f>
        <v>#DIV/0!</v>
      </c>
      <c r="F17" s="3" t="e">
        <f t="shared" si="0"/>
        <v>#DIV/0!</v>
      </c>
      <c r="G17" s="3" t="e">
        <f t="shared" si="0"/>
        <v>#DIV/0!</v>
      </c>
      <c r="H17" s="3" t="e">
        <f t="shared" si="0"/>
        <v>#DIV/0!</v>
      </c>
      <c r="I17" s="3" t="e">
        <f t="shared" si="0"/>
        <v>#DIV/0!</v>
      </c>
      <c r="J17" s="3" t="e">
        <f t="shared" si="0"/>
        <v>#DIV/0!</v>
      </c>
      <c r="K17" s="3" t="e">
        <f t="shared" si="0"/>
        <v>#DIV/0!</v>
      </c>
      <c r="L17" s="3" t="e">
        <f t="shared" si="0"/>
        <v>#DIV/0!</v>
      </c>
      <c r="M17" s="3" t="e">
        <f t="shared" si="0"/>
        <v>#DIV/0!</v>
      </c>
      <c r="N17" s="3" t="e">
        <f t="shared" si="0"/>
        <v>#DIV/0!</v>
      </c>
      <c r="O17" s="3" t="e">
        <f t="shared" si="0"/>
        <v>#DIV/0!</v>
      </c>
      <c r="P17" s="3" t="e">
        <f t="shared" ref="P17:Y17" si="1">AVERAGE(P21:P220)</f>
        <v>#DIV/0!</v>
      </c>
      <c r="Q17" s="3" t="e">
        <f t="shared" si="1"/>
        <v>#DIV/0!</v>
      </c>
      <c r="R17" s="3" t="e">
        <f t="shared" si="1"/>
        <v>#DIV/0!</v>
      </c>
      <c r="S17" s="3" t="e">
        <f ca="1">AVERAGEIF(S21:S220,"&gt;0",S21:S200)</f>
        <v>#DIV/0!</v>
      </c>
      <c r="T17" s="3"/>
      <c r="U17" s="3" t="e">
        <f t="shared" si="1"/>
        <v>#DIV/0!</v>
      </c>
      <c r="V17" s="3" t="e">
        <f t="shared" si="1"/>
        <v>#DIV/0!</v>
      </c>
      <c r="W17" s="3" t="e">
        <f t="shared" si="1"/>
        <v>#DIV/0!</v>
      </c>
      <c r="X17" s="3" t="e">
        <f t="shared" si="1"/>
        <v>#DIV/0!</v>
      </c>
      <c r="Y17" s="3" t="e">
        <f t="shared" si="1"/>
        <v>#DIV/0!</v>
      </c>
      <c r="Z17" s="24"/>
    </row>
    <row r="18" spans="1:26" x14ac:dyDescent="0.25">
      <c r="A18" s="12" t="s">
        <v>6</v>
      </c>
      <c r="B18" s="5"/>
      <c r="C18" s="5"/>
      <c r="D18" s="3">
        <f>MAX(D21:D200)</f>
        <v>0</v>
      </c>
      <c r="E18" s="3">
        <f t="shared" ref="E18:O18" si="2">MAX(E21:E200)</f>
        <v>0</v>
      </c>
      <c r="F18" s="3">
        <f t="shared" si="2"/>
        <v>0</v>
      </c>
      <c r="G18" s="3">
        <f t="shared" si="2"/>
        <v>0</v>
      </c>
      <c r="H18" s="3">
        <f t="shared" si="2"/>
        <v>0</v>
      </c>
      <c r="I18" s="3">
        <f t="shared" si="2"/>
        <v>0</v>
      </c>
      <c r="J18" s="3">
        <f t="shared" si="2"/>
        <v>0</v>
      </c>
      <c r="K18" s="3">
        <f t="shared" si="2"/>
        <v>0</v>
      </c>
      <c r="L18" s="3">
        <f t="shared" ref="L18" si="3">MAX(L21:L200)</f>
        <v>0</v>
      </c>
      <c r="M18" s="3">
        <f t="shared" si="2"/>
        <v>0</v>
      </c>
      <c r="N18" s="3">
        <f t="shared" si="2"/>
        <v>0</v>
      </c>
      <c r="O18" s="3">
        <f t="shared" si="2"/>
        <v>0</v>
      </c>
      <c r="P18" s="3">
        <f t="shared" ref="P18:Y18" si="4">MAX(P21:P200)</f>
        <v>0</v>
      </c>
      <c r="Q18" s="3">
        <f t="shared" si="4"/>
        <v>0</v>
      </c>
      <c r="R18" s="3">
        <f t="shared" si="4"/>
        <v>0</v>
      </c>
      <c r="S18" s="3">
        <f t="shared" ref="S18" si="5">MAX(S21:S200)</f>
        <v>0</v>
      </c>
      <c r="T18" s="3"/>
      <c r="U18" s="3">
        <f t="shared" si="4"/>
        <v>0</v>
      </c>
      <c r="V18" s="3">
        <f t="shared" si="4"/>
        <v>0</v>
      </c>
      <c r="W18" s="3">
        <f t="shared" si="4"/>
        <v>0</v>
      </c>
      <c r="X18" s="3">
        <f t="shared" si="4"/>
        <v>0</v>
      </c>
      <c r="Y18" s="3">
        <f t="shared" si="4"/>
        <v>0</v>
      </c>
      <c r="Z18" s="24"/>
    </row>
    <row r="19" spans="1:26" ht="15.75" thickBot="1" x14ac:dyDescent="0.3">
      <c r="A19" s="15" t="s">
        <v>7</v>
      </c>
      <c r="B19" s="6"/>
      <c r="C19" s="6"/>
      <c r="D19" s="4">
        <f>MIN(D21:D200)</f>
        <v>0</v>
      </c>
      <c r="E19" s="4">
        <f t="shared" ref="E19:O19" si="6">MIN(E21:E200)</f>
        <v>0</v>
      </c>
      <c r="F19" s="4">
        <f t="shared" si="6"/>
        <v>0</v>
      </c>
      <c r="G19" s="4">
        <f t="shared" si="6"/>
        <v>0</v>
      </c>
      <c r="H19" s="4">
        <f t="shared" si="6"/>
        <v>0</v>
      </c>
      <c r="I19" s="4">
        <f t="shared" si="6"/>
        <v>0</v>
      </c>
      <c r="J19" s="4">
        <f t="shared" si="6"/>
        <v>0</v>
      </c>
      <c r="K19" s="4">
        <f t="shared" si="6"/>
        <v>0</v>
      </c>
      <c r="L19" s="4">
        <f t="shared" ref="L19" si="7">MIN(L21:L200)</f>
        <v>0</v>
      </c>
      <c r="M19" s="4"/>
      <c r="N19" s="4">
        <f t="shared" si="6"/>
        <v>0</v>
      </c>
      <c r="O19" s="4">
        <f t="shared" si="6"/>
        <v>0</v>
      </c>
      <c r="P19" s="4">
        <f t="shared" ref="P19:Y19" si="8">MIN(P21:P200)</f>
        <v>0</v>
      </c>
      <c r="Q19" s="4">
        <f t="shared" si="8"/>
        <v>0</v>
      </c>
      <c r="R19" s="4">
        <f t="shared" si="8"/>
        <v>0</v>
      </c>
      <c r="S19" s="4">
        <f t="shared" ref="S19" si="9">MIN(S21:S200)</f>
        <v>0</v>
      </c>
      <c r="T19" s="4"/>
      <c r="U19" s="4">
        <f t="shared" si="8"/>
        <v>0</v>
      </c>
      <c r="V19" s="4">
        <f t="shared" si="8"/>
        <v>0</v>
      </c>
      <c r="W19" s="4">
        <f t="shared" si="8"/>
        <v>0</v>
      </c>
      <c r="X19" s="4">
        <f t="shared" si="8"/>
        <v>0</v>
      </c>
      <c r="Y19" s="4">
        <f t="shared" si="8"/>
        <v>0</v>
      </c>
      <c r="Z19" s="24"/>
    </row>
    <row r="20" spans="1:26" x14ac:dyDescent="0.25">
      <c r="A20" s="18" t="s">
        <v>2</v>
      </c>
      <c r="B20" s="13" t="s">
        <v>16</v>
      </c>
      <c r="C20" s="13" t="s">
        <v>3</v>
      </c>
      <c r="D20" s="17" t="s">
        <v>28</v>
      </c>
      <c r="E20" s="17" t="s">
        <v>29</v>
      </c>
      <c r="F20" s="17" t="s">
        <v>30</v>
      </c>
      <c r="G20" s="17" t="s">
        <v>31</v>
      </c>
      <c r="H20" s="17" t="s">
        <v>32</v>
      </c>
      <c r="I20" s="17" t="s">
        <v>33</v>
      </c>
      <c r="J20" s="17" t="s">
        <v>34</v>
      </c>
      <c r="K20" s="17" t="s">
        <v>35</v>
      </c>
      <c r="L20" s="17" t="s">
        <v>21</v>
      </c>
      <c r="M20" s="17" t="s">
        <v>22</v>
      </c>
      <c r="N20" s="17" t="s">
        <v>23</v>
      </c>
      <c r="O20" s="17" t="s">
        <v>24</v>
      </c>
      <c r="P20" s="17" t="s">
        <v>25</v>
      </c>
      <c r="Q20" s="17" t="s">
        <v>26</v>
      </c>
      <c r="R20" s="17" t="s">
        <v>27</v>
      </c>
      <c r="S20" s="17" t="s">
        <v>36</v>
      </c>
      <c r="T20" s="17" t="s">
        <v>49</v>
      </c>
      <c r="U20" s="17" t="s">
        <v>38</v>
      </c>
      <c r="V20" s="17" t="s">
        <v>39</v>
      </c>
      <c r="W20" s="17" t="s">
        <v>40</v>
      </c>
      <c r="X20" s="17" t="s">
        <v>41</v>
      </c>
      <c r="Y20" s="17" t="s">
        <v>42</v>
      </c>
      <c r="Z20" s="24" t="s">
        <v>15</v>
      </c>
    </row>
  </sheetData>
  <mergeCells count="3">
    <mergeCell ref="D15:K15"/>
    <mergeCell ref="L15:S15"/>
    <mergeCell ref="U15:Y15"/>
  </mergeCells>
  <pageMargins left="0.75" right="0.75" top="1" bottom="1" header="0.5" footer="0.5"/>
  <pageSetup orientation="portrait" horizontalDpi="4294967293" verticalDpi="4294967293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Graphs</vt:lpstr>
      <vt:lpstr>team_list</vt:lpstr>
      <vt:lpstr>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 Savage</cp:lastModifiedBy>
  <dcterms:created xsi:type="dcterms:W3CDTF">2018-02-07T22:32:44Z</dcterms:created>
  <dcterms:modified xsi:type="dcterms:W3CDTF">2025-02-27T16:47:54Z</dcterms:modified>
</cp:coreProperties>
</file>